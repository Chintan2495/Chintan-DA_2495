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queryTables/queryTable26.xml" ContentType="application/vnd.openxmlformats-officedocument.spreadsheetml.queryTable+xml"/>
  <Override PartName="/xl/tables/table28.xml" ContentType="application/vnd.openxmlformats-officedocument.spreadsheetml.table+xml"/>
  <Override PartName="/xl/queryTables/queryTable27.xml" ContentType="application/vnd.openxmlformats-officedocument.spreadsheetml.queryTable+xml"/>
  <Override PartName="/xl/tables/table29.xml" ContentType="application/vnd.openxmlformats-officedocument.spreadsheetml.table+xml"/>
  <Override PartName="/xl/queryTables/queryTable28.xml" ContentType="application/vnd.openxmlformats-officedocument.spreadsheetml.queryTable+xml"/>
  <Override PartName="/xl/tables/table30.xml" ContentType="application/vnd.openxmlformats-officedocument.spreadsheetml.table+xml"/>
  <Override PartName="/xl/queryTables/queryTable29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nurag mori\"/>
    </mc:Choice>
  </mc:AlternateContent>
  <xr:revisionPtr revIDLastSave="0" documentId="13_ncr:1_{D1E99B1A-CBAF-4B81-8962-BF133EDACAC8}" xr6:coauthVersionLast="47" xr6:coauthVersionMax="47" xr10:uidLastSave="{00000000-0000-0000-0000-000000000000}"/>
  <bookViews>
    <workbookView xWindow="-120" yWindow="-120" windowWidth="29040" windowHeight="15720" activeTab="6" xr2:uid="{F7DF94C2-6622-418F-BAFD-789CB89378D9}"/>
  </bookViews>
  <sheets>
    <sheet name="Questions" sheetId="4" r:id="rId1"/>
    <sheet name="Instructions" sheetId="2" r:id="rId2"/>
    <sheet name="Product_Master" sheetId="3" r:id="rId3"/>
    <sheet name="Sales_Data" sheetId="5" r:id="rId4"/>
    <sheet name="Student_Marks" sheetId="6" r:id="rId5"/>
    <sheet name="pivot" sheetId="7" r:id="rId6"/>
    <sheet name="ans" sheetId="1" r:id="rId7"/>
  </sheets>
  <definedNames>
    <definedName name="_xlcn.WorksheetConnection_Book2Instructions1" hidden="1">Instructions[]</definedName>
    <definedName name="_xlcn.WorksheetConnection_Book2Product_Master1" hidden="1">Product_Master[]</definedName>
    <definedName name="_xlcn.WorksheetConnection_Book2Questions1" hidden="1">Questions[]</definedName>
    <definedName name="_xlcn.WorksheetConnection_Book2Sales_Data1" hidden="1">Sales_Data[]</definedName>
    <definedName name="_xlcn.WorksheetConnection_Book2Sales_Data13271" hidden="1">Sales_Data1327[]</definedName>
    <definedName name="_xlcn.WorksheetConnection_Book2Sales_Data81" hidden="1">Sales_Data8[]</definedName>
    <definedName name="_xlcn.WorksheetConnection_Book2Student_Marks311" hidden="1">Student_Marks31[]</definedName>
    <definedName name="ExternalData_1" localSheetId="6" hidden="1">ans!$A$3:$G$9</definedName>
    <definedName name="ExternalData_1" localSheetId="1" hidden="1">Instructions!$A$1:$A$6</definedName>
    <definedName name="ExternalData_1" localSheetId="2" hidden="1">Product_Master!$A$1:$C$4</definedName>
    <definedName name="ExternalData_1" localSheetId="0" hidden="1">Questions!$A$1:$J$33</definedName>
    <definedName name="ExternalData_1" localSheetId="3" hidden="1">Sales_Data!$A$1:$G$7</definedName>
    <definedName name="ExternalData_1" localSheetId="4" hidden="1">Student_Marks!$A$1:$F$6</definedName>
    <definedName name="ExternalData_10" localSheetId="6" hidden="1">ans!$A$97:$G$103</definedName>
    <definedName name="ExternalData_11" localSheetId="6" hidden="1">ans!$A$109:$C$112</definedName>
    <definedName name="ExternalData_12" localSheetId="6" hidden="1">ans!$A$118:$F$123</definedName>
    <definedName name="ExternalData_13" localSheetId="6" hidden="1">ans!$A$129:$F$134</definedName>
    <definedName name="ExternalData_14" localSheetId="6" hidden="1">ans!$A$141:$F$146</definedName>
    <definedName name="ExternalData_15" localSheetId="6" hidden="1">ans!$A$153:$F$158</definedName>
    <definedName name="ExternalData_16" localSheetId="6" hidden="1">ans!$A$213:$F$218</definedName>
    <definedName name="ExternalData_17" localSheetId="6" hidden="1">ans!$A$225:$F$230</definedName>
    <definedName name="ExternalData_18" localSheetId="6" hidden="1">ans!$A$237:$F$242</definedName>
    <definedName name="ExternalData_19" localSheetId="6" hidden="1">ans!$A$262:$G$268</definedName>
    <definedName name="ExternalData_2" localSheetId="6" hidden="1">ans!$A$14:$C$17</definedName>
    <definedName name="ExternalData_20" localSheetId="6" hidden="1">ans!$A$276:$G$282</definedName>
    <definedName name="ExternalData_21" localSheetId="6" hidden="1">ans!$A$290:$G$296</definedName>
    <definedName name="ExternalData_22" localSheetId="6" hidden="1">ans!$A$302:$G$308</definedName>
    <definedName name="ExternalData_23" localSheetId="6" hidden="1">ans!$A$313:$F$318</definedName>
    <definedName name="ExternalData_24" localSheetId="6" hidden="1">ans!$A$325:$G$331</definedName>
    <definedName name="ExternalData_25" localSheetId="6" hidden="1">ans!$A$339:$F$344</definedName>
    <definedName name="ExternalData_4" localSheetId="6" hidden="1">ans!$A$22:$G$28</definedName>
    <definedName name="ExternalData_5" localSheetId="6" hidden="1">ans!$A$38:$G$44</definedName>
    <definedName name="ExternalData_6" localSheetId="6" hidden="1">ans!$A$49:$G$55</definedName>
    <definedName name="ExternalData_7" localSheetId="6" hidden="1">ans!$A$61:$G$67</definedName>
    <definedName name="ExternalData_8" localSheetId="6" hidden="1">ans!$A$72:$G$78</definedName>
    <definedName name="ExternalData_9" localSheetId="6" hidden="1">ans!$A$83:$G$89</definedName>
  </definedNames>
  <calcPr calcId="191029"/>
  <pivotCaches>
    <pivotCache cacheId="10" r:id="rId8"/>
    <pivotCache cacheId="13" r:id="rId9"/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udent_Marks31" name="Student_Marks31" connection="WorksheetConnection_Book2!Student_Marks31"/>
          <x15:modelTable id="Sales_Data8" name="Sales_Data8" connection="WorksheetConnection_Book2!Sales_Data8"/>
          <x15:modelTable id="Sales_Data1327" name="Sales_Data1327" connection="WorksheetConnection_Book2!Sales_Data1327"/>
          <x15:modelTable id="Sales_Data" name="Sales_Data" connection="WorksheetConnection_Book2!Sales_Data"/>
          <x15:modelTable id="Questions" name="Questions" connection="WorksheetConnection_Book2!Questions"/>
          <x15:modelTable id="Product_Master" name="Product_Master" connection="WorksheetConnection_Book2!Product_Master"/>
          <x15:modelTable id="Instructions" name="Instructions" connection="WorksheetConnection_Book2!Instruction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03" i="1" l="1"/>
  <c r="H304" i="1"/>
  <c r="H305" i="1"/>
  <c r="H306" i="1"/>
  <c r="H307" i="1"/>
  <c r="H308" i="1"/>
  <c r="H291" i="1"/>
  <c r="H292" i="1"/>
  <c r="H293" i="1"/>
  <c r="H294" i="1"/>
  <c r="H295" i="1"/>
  <c r="H296" i="1"/>
  <c r="B250" i="1"/>
  <c r="B251" i="1"/>
  <c r="B252" i="1"/>
  <c r="B253" i="1"/>
  <c r="B254" i="1"/>
  <c r="B249" i="1"/>
  <c r="H228" i="1"/>
  <c r="I214" i="1"/>
  <c r="G154" i="1"/>
  <c r="G155" i="1"/>
  <c r="G156" i="1"/>
  <c r="G157" i="1"/>
  <c r="G158" i="1"/>
  <c r="G142" i="1"/>
  <c r="G143" i="1"/>
  <c r="G144" i="1"/>
  <c r="G145" i="1"/>
  <c r="G146" i="1"/>
  <c r="D110" i="1"/>
  <c r="D111" i="1"/>
  <c r="D112" i="1"/>
  <c r="H84" i="1"/>
  <c r="H85" i="1"/>
  <c r="H86" i="1"/>
  <c r="H87" i="1"/>
  <c r="H88" i="1"/>
  <c r="H89" i="1"/>
  <c r="I62" i="1" a="1"/>
  <c r="I62" i="1" s="1"/>
  <c r="I63" i="1" a="1"/>
  <c r="I63" i="1" s="1"/>
  <c r="I64" i="1" a="1"/>
  <c r="I64" i="1" s="1"/>
  <c r="I65" i="1" a="1"/>
  <c r="I65" i="1" s="1"/>
  <c r="I66" i="1" a="1"/>
  <c r="I66" i="1" s="1"/>
  <c r="I67" i="1" a="1"/>
  <c r="I67" i="1" s="1"/>
  <c r="J50" i="1"/>
  <c r="J51" i="1"/>
  <c r="J52" i="1"/>
  <c r="J53" i="1"/>
  <c r="J54" i="1"/>
  <c r="J55" i="1"/>
  <c r="J40" i="1"/>
  <c r="G238" i="1"/>
  <c r="G239" i="1"/>
  <c r="G240" i="1"/>
  <c r="G241" i="1"/>
  <c r="G242" i="1"/>
  <c r="G130" i="1"/>
  <c r="G131" i="1"/>
  <c r="G132" i="1"/>
  <c r="G133" i="1"/>
  <c r="H133" i="1" s="1"/>
  <c r="G134" i="1"/>
  <c r="H134" i="1" s="1"/>
  <c r="G119" i="1"/>
  <c r="G120" i="1"/>
  <c r="G121" i="1"/>
  <c r="G122" i="1"/>
  <c r="G123" i="1"/>
  <c r="H63" i="1"/>
  <c r="H64" i="1"/>
  <c r="H65" i="1"/>
  <c r="H66" i="1"/>
  <c r="H67" i="1"/>
  <c r="H62" i="1"/>
  <c r="H4" i="1"/>
  <c r="H5" i="1"/>
  <c r="H6" i="1"/>
  <c r="D17" i="1" s="1"/>
  <c r="H7" i="1"/>
  <c r="H26" i="1" s="1"/>
  <c r="H8" i="1"/>
  <c r="H27" i="1" s="1"/>
  <c r="H9" i="1"/>
  <c r="H78" i="1" s="1"/>
  <c r="H131" i="1" l="1"/>
  <c r="H130" i="1"/>
  <c r="H132" i="1"/>
  <c r="H28" i="1"/>
  <c r="H77" i="1"/>
  <c r="H76" i="1"/>
  <c r="H75" i="1"/>
  <c r="D16" i="1"/>
  <c r="H24" i="1" s="1"/>
  <c r="D15" i="1"/>
  <c r="H23" i="1" s="1"/>
  <c r="H25" i="1"/>
  <c r="H10" i="1"/>
  <c r="C33" i="1" l="1"/>
  <c r="H73" i="1"/>
  <c r="H74" i="1"/>
  <c r="J77" i="1" l="1"/>
  <c r="J7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4BD83D-5E35-4532-A936-A0AEF624976C}" keepAlive="1" name="Query - Instructions" description="Connection to the 'Instructions' query in the workbook." type="5" refreshedVersion="8" background="1" saveData="1">
    <dbPr connection="Provider=Microsoft.Mashup.OleDb.1;Data Source=$Workbook$;Location=Instructions;Extended Properties=&quot;&quot;" command="SELECT * FROM [Instructions]"/>
  </connection>
  <connection id="2" xr16:uid="{A5BA0178-2A45-4215-863F-F935662CB262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  <connection id="3" xr16:uid="{2FF95B10-B2D9-4926-8AC5-083D229176B3}" keepAlive="1" name="Query - Product_Master (2)" description="Connection to the 'Product_Master (2)' query in the workbook." type="5" refreshedVersion="8" background="1" saveData="1">
    <dbPr connection="Provider=Microsoft.Mashup.OleDb.1;Data Source=$Workbook$;Location=&quot;Product_Master (2)&quot;;Extended Properties=&quot;&quot;" command="SELECT * FROM [Product_Master (2)]"/>
  </connection>
  <connection id="4" xr16:uid="{C913FAD0-E52C-40DF-B889-A2E24FE14FDD}" keepAlive="1" name="Query - Product_Master (3)" description="Connection to the 'Product_Master (3)' query in the workbook." type="5" refreshedVersion="8" background="1" saveData="1">
    <dbPr connection="Provider=Microsoft.Mashup.OleDb.1;Data Source=$Workbook$;Location=&quot;Product_Master (3)&quot;;Extended Properties=&quot;&quot;" command="SELECT * FROM [Product_Master (3)]"/>
  </connection>
  <connection id="5" xr16:uid="{CF0DB959-981E-4007-8E52-22C865BDA9A2}" keepAlive="1" name="Query - Product_Master (4)" description="Connection to the 'Product_Master (4)' query in the workbook." type="5" refreshedVersion="8" background="1" saveData="1">
    <dbPr connection="Provider=Microsoft.Mashup.OleDb.1;Data Source=$Workbook$;Location=&quot;Product_Master (4)&quot;;Extended Properties=&quot;&quot;" command="SELECT * FROM [Product_Master (4)]"/>
  </connection>
  <connection id="6" xr16:uid="{5BBBCE77-2EE1-49C3-8063-94FACF376765}" keepAlive="1" name="Query - Product_Master (5)" description="Connection to the 'Product_Master (5)' query in the workbook." type="5" refreshedVersion="8" background="1" saveData="1">
    <dbPr connection="Provider=Microsoft.Mashup.OleDb.1;Data Source=$Workbook$;Location=&quot;Product_Master (5)&quot;;Extended Properties=&quot;&quot;" command="SELECT * FROM [Product_Master (5)]"/>
  </connection>
  <connection id="7" xr16:uid="{27411D7B-9BDE-473E-A133-FB777072605E}" keepAlive="1" name="Query - Questions" description="Connection to the 'Questions' query in the workbook." type="5" refreshedVersion="8" background="1" saveData="1">
    <dbPr connection="Provider=Microsoft.Mashup.OleDb.1;Data Source=$Workbook$;Location=Questions;Extended Properties=&quot;&quot;" command="SELECT * FROM [Questions]"/>
  </connection>
  <connection id="8" xr16:uid="{B1B57B80-0D08-48BC-A162-D4E73DD41A17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9" xr16:uid="{AC559F97-2F15-4AC3-9024-1ABBF5B249BC}" keepAlive="1" name="Query - Sales_Data (10)" description="Connection to the 'Sales_Data (10)' query in the workbook." type="5" refreshedVersion="8" background="1" saveData="1">
    <dbPr connection="Provider=Microsoft.Mashup.OleDb.1;Data Source=$Workbook$;Location=&quot;Sales_Data (10)&quot;;Extended Properties=&quot;&quot;" command="SELECT * FROM [Sales_Data (10)]"/>
  </connection>
  <connection id="10" xr16:uid="{F4E20E3D-3318-4534-919E-2DCDEA3BE214}" keepAlive="1" name="Query - Sales_Data (11)" description="Connection to the 'Sales_Data (11)' query in the workbook." type="5" refreshedVersion="8" background="1" saveData="1">
    <dbPr connection="Provider=Microsoft.Mashup.OleDb.1;Data Source=$Workbook$;Location=&quot;Sales_Data (11)&quot;;Extended Properties=&quot;&quot;" command="SELECT * FROM [Sales_Data (11)]"/>
  </connection>
  <connection id="11" xr16:uid="{759248CF-FD25-4E84-BFEA-B169BEA63B06}" keepAlive="1" name="Query - Sales_Data (12)" description="Connection to the 'Sales_Data (12)' query in the workbook." type="5" refreshedVersion="8" background="1" saveData="1">
    <dbPr connection="Provider=Microsoft.Mashup.OleDb.1;Data Source=$Workbook$;Location=&quot;Sales_Data (12)&quot;;Extended Properties=&quot;&quot;" command="SELECT * FROM [Sales_Data (12)]"/>
  </connection>
  <connection id="12" xr16:uid="{41561FD9-2216-4FA9-8A6D-F9D9F01BF348}" keepAlive="1" name="Query - Sales_Data (13)" description="Connection to the 'Sales_Data (13)' query in the workbook." type="5" refreshedVersion="8" background="1" saveData="1">
    <dbPr connection="Provider=Microsoft.Mashup.OleDb.1;Data Source=$Workbook$;Location=&quot;Sales_Data (13)&quot;;Extended Properties=&quot;&quot;" command="SELECT * FROM [Sales_Data (13)]"/>
  </connection>
  <connection id="13" xr16:uid="{EE1266CF-B1CC-4589-84E6-752D54947989}" keepAlive="1" name="Query - Sales_Data (14)" description="Connection to the 'Sales_Data (14)' query in the workbook." type="5" refreshedVersion="8" background="1" saveData="1">
    <dbPr connection="Provider=Microsoft.Mashup.OleDb.1;Data Source=$Workbook$;Location=&quot;Sales_Data (14)&quot;;Extended Properties=&quot;&quot;" command="SELECT * FROM [Sales_Data (14)]"/>
  </connection>
  <connection id="14" xr16:uid="{D8FC5E78-949A-4063-806F-76B9672B90EA}" keepAlive="1" name="Query - Sales_Data (15)" description="Connection to the 'Sales_Data (15)' query in the workbook." type="5" refreshedVersion="8" background="1" saveData="1">
    <dbPr connection="Provider=Microsoft.Mashup.OleDb.1;Data Source=$Workbook$;Location=&quot;Sales_Data (15)&quot;;Extended Properties=&quot;&quot;" command="SELECT * FROM [Sales_Data (15)]"/>
  </connection>
  <connection id="15" xr16:uid="{EBE76541-C958-4E13-965B-59D901715047}" keepAlive="1" name="Query - Sales_Data (16)" description="Connection to the 'Sales_Data (16)' query in the workbook." type="5" refreshedVersion="8" background="1" saveData="1">
    <dbPr connection="Provider=Microsoft.Mashup.OleDb.1;Data Source=$Workbook$;Location=&quot;Sales_Data (16)&quot;;Extended Properties=&quot;&quot;" command="SELECT * FROM [Sales_Data (16)]"/>
  </connection>
  <connection id="16" xr16:uid="{0992E606-76B9-478E-91B3-78CF315CB31E}" keepAlive="1" name="Query - Sales_Data (17)" description="Connection to the 'Sales_Data (17)' query in the workbook." type="5" refreshedVersion="8" background="1" saveData="1">
    <dbPr connection="Provider=Microsoft.Mashup.OleDb.1;Data Source=$Workbook$;Location=&quot;Sales_Data (17)&quot;;Extended Properties=&quot;&quot;" command="SELECT * FROM [Sales_Data (17)]"/>
  </connection>
  <connection id="17" xr16:uid="{04654367-0F50-446F-ACF1-CFCD79177C6B}" keepAlive="1" name="Query - Sales_Data (18)" description="Connection to the 'Sales_Data (18)' query in the workbook." type="5" refreshedVersion="8" background="1" saveData="1">
    <dbPr connection="Provider=Microsoft.Mashup.OleDb.1;Data Source=$Workbook$;Location=&quot;Sales_Data (18)&quot;;Extended Properties=&quot;&quot;" command="SELECT * FROM [Sales_Data (18)]"/>
  </connection>
  <connection id="18" xr16:uid="{2DBA0FBE-6812-41B9-A7A3-D536520B7544}" keepAlive="1" name="Query - Sales_Data (19)" description="Connection to the 'Sales_Data (19)' query in the workbook." type="5" refreshedVersion="8" background="1" saveData="1">
    <dbPr connection="Provider=Microsoft.Mashup.OleDb.1;Data Source=$Workbook$;Location=&quot;Sales_Data (19)&quot;;Extended Properties=&quot;&quot;" command="SELECT * FROM [Sales_Data (19)]"/>
  </connection>
  <connection id="19" xr16:uid="{FBD828F5-CD69-4671-BF63-D66CB6F0A71D}" keepAlive="1" name="Query - Sales_Data (2)" description="Connection to the 'Sales_Data (2)' query in the workbook." type="5" refreshedVersion="8" background="1" saveData="1">
    <dbPr connection="Provider=Microsoft.Mashup.OleDb.1;Data Source=$Workbook$;Location=&quot;Sales_Data (2)&quot;;Extended Properties=&quot;&quot;" command="SELECT * FROM [Sales_Data (2)]"/>
  </connection>
  <connection id="20" xr16:uid="{8316EEED-B3C9-45F6-ABA8-D70E7C43C33C}" keepAlive="1" name="Query - Sales_Data (20)" description="Connection to the 'Sales_Data (20)' query in the workbook." type="5" refreshedVersion="8" background="1" saveData="1">
    <dbPr connection="Provider=Microsoft.Mashup.OleDb.1;Data Source=$Workbook$;Location=&quot;Sales_Data (20)&quot;;Extended Properties=&quot;&quot;" command="SELECT * FROM [Sales_Data (20)]"/>
  </connection>
  <connection id="21" xr16:uid="{D976210D-5C0C-43E8-9F6A-515D6CA58BBA}" keepAlive="1" name="Query - Sales_Data (21)" description="Connection to the 'Sales_Data (21)' query in the workbook." type="5" refreshedVersion="8" background="1" saveData="1">
    <dbPr connection="Provider=Microsoft.Mashup.OleDb.1;Data Source=$Workbook$;Location=&quot;Sales_Data (21)&quot;;Extended Properties=&quot;&quot;" command="SELECT * FROM [Sales_Data (21)]"/>
  </connection>
  <connection id="22" xr16:uid="{DC5778E4-59BA-48C3-8AAE-7AB3627FFDA0}" keepAlive="1" name="Query - Sales_Data (22)" description="Connection to the 'Sales_Data (22)' query in the workbook." type="5" refreshedVersion="8" background="1" saveData="1">
    <dbPr connection="Provider=Microsoft.Mashup.OleDb.1;Data Source=$Workbook$;Location=&quot;Sales_Data (22)&quot;;Extended Properties=&quot;&quot;" command="SELECT * FROM [Sales_Data (22)]"/>
  </connection>
  <connection id="23" xr16:uid="{93A0A928-ADD1-45EE-8A8E-2D1A93ED9EFE}" keepAlive="1" name="Query - Sales_Data (3)" description="Connection to the 'Sales_Data (3)' query in the workbook." type="5" refreshedVersion="8" background="1" saveData="1">
    <dbPr connection="Provider=Microsoft.Mashup.OleDb.1;Data Source=$Workbook$;Location=&quot;Sales_Data (3)&quot;;Extended Properties=&quot;&quot;" command="SELECT * FROM [Sales_Data (3)]"/>
  </connection>
  <connection id="24" xr16:uid="{2ED63CFB-8932-44CC-842D-E04CBDFC5914}" keepAlive="1" name="Query - Sales_Data (4)" description="Connection to the 'Sales_Data (4)' query in the workbook." type="5" refreshedVersion="8" background="1" saveData="1">
    <dbPr connection="Provider=Microsoft.Mashup.OleDb.1;Data Source=$Workbook$;Location=&quot;Sales_Data (4)&quot;;Extended Properties=&quot;&quot;" command="SELECT * FROM [Sales_Data (4)]"/>
  </connection>
  <connection id="25" xr16:uid="{74E506EB-AEDF-468E-AFE8-37AFDD547302}" keepAlive="1" name="Query - Sales_Data (5)" description="Connection to the 'Sales_Data (5)' query in the workbook." type="5" refreshedVersion="8" background="1" saveData="1">
    <dbPr connection="Provider=Microsoft.Mashup.OleDb.1;Data Source=$Workbook$;Location=&quot;Sales_Data (5)&quot;;Extended Properties=&quot;&quot;" command="SELECT * FROM [Sales_Data (5)]"/>
  </connection>
  <connection id="26" xr16:uid="{1809816E-FC53-40DF-8E72-66659069AC17}" keepAlive="1" name="Query - Sales_Data (6)" description="Connection to the 'Sales_Data (6)' query in the workbook." type="5" refreshedVersion="8" background="1" saveData="1">
    <dbPr connection="Provider=Microsoft.Mashup.OleDb.1;Data Source=$Workbook$;Location=&quot;Sales_Data (6)&quot;;Extended Properties=&quot;&quot;" command="SELECT * FROM [Sales_Data (6)]"/>
  </connection>
  <connection id="27" xr16:uid="{98ACC0B9-E47D-4BA1-8342-5D0D76A893A6}" keepAlive="1" name="Query - Sales_Data (7)" description="Connection to the 'Sales_Data (7)' query in the workbook." type="5" refreshedVersion="8" background="1" saveData="1">
    <dbPr connection="Provider=Microsoft.Mashup.OleDb.1;Data Source=$Workbook$;Location=&quot;Sales_Data (7)&quot;;Extended Properties=&quot;&quot;" command="SELECT * FROM [Sales_Data (7)]"/>
  </connection>
  <connection id="28" xr16:uid="{7573962F-5307-481D-ABDB-6186ED4F7A49}" keepAlive="1" name="Query - Sales_Data (8)" description="Connection to the 'Sales_Data (8)' query in the workbook." type="5" refreshedVersion="8" background="1" saveData="1">
    <dbPr connection="Provider=Microsoft.Mashup.OleDb.1;Data Source=$Workbook$;Location=&quot;Sales_Data (8)&quot;;Extended Properties=&quot;&quot;" command="SELECT * FROM [Sales_Data (8)]"/>
  </connection>
  <connection id="29" xr16:uid="{AE6B0BFA-2A03-4312-B2C7-30E4CDB8FE6E}" keepAlive="1" name="Query - Sales_Data (9)" description="Connection to the 'Sales_Data (9)' query in the workbook." type="5" refreshedVersion="8" background="1" saveData="1">
    <dbPr connection="Provider=Microsoft.Mashup.OleDb.1;Data Source=$Workbook$;Location=&quot;Sales_Data (9)&quot;;Extended Properties=&quot;&quot;" command="SELECT * FROM [Sales_Data (9)]"/>
  </connection>
  <connection id="30" xr16:uid="{7018211C-8565-4FE1-A223-16710BA77335}" keepAlive="1" name="Query - Student_Marks" description="Connection to the 'Student_Marks' query in the workbook." type="5" refreshedVersion="8" background="1" saveData="1">
    <dbPr connection="Provider=Microsoft.Mashup.OleDb.1;Data Source=$Workbook$;Location=Student_Marks;Extended Properties=&quot;&quot;" command="SELECT * FROM [Student_Marks]"/>
  </connection>
  <connection id="31" xr16:uid="{3938F83D-26E4-4262-9878-35DBDEC97C28}" keepAlive="1" name="Query - Student_Marks (10)" description="Connection to the 'Student_Marks (10)' query in the workbook." type="5" refreshedVersion="8" background="1" saveData="1">
    <dbPr connection="Provider=Microsoft.Mashup.OleDb.1;Data Source=$Workbook$;Location=&quot;Student_Marks (10)&quot;;Extended Properties=&quot;&quot;" command="SELECT * FROM [Student_Marks (10)]"/>
  </connection>
  <connection id="32" xr16:uid="{E3BDAE19-4C68-412F-B2A6-189067C8B1E8}" keepAlive="1" name="Query - Student_Marks (11)" description="Connection to the 'Student_Marks (11)' query in the workbook." type="5" refreshedVersion="8" background="1" saveData="1">
    <dbPr connection="Provider=Microsoft.Mashup.OleDb.1;Data Source=$Workbook$;Location=&quot;Student_Marks (11)&quot;;Extended Properties=&quot;&quot;" command="SELECT * FROM [Student_Marks (11)]"/>
  </connection>
  <connection id="33" xr16:uid="{0DAF23B2-1E12-49C1-93A1-153E7F116BA2}" keepAlive="1" name="Query - Student_Marks (12)" description="Connection to the 'Student_Marks (12)' query in the workbook." type="5" refreshedVersion="8" background="1" saveData="1">
    <dbPr connection="Provider=Microsoft.Mashup.OleDb.1;Data Source=$Workbook$;Location=&quot;Student_Marks (12)&quot;;Extended Properties=&quot;&quot;" command="SELECT * FROM [Student_Marks (12)]"/>
  </connection>
  <connection id="34" xr16:uid="{126C5343-4CEE-45B1-A465-F9C116351B1B}" keepAlive="1" name="Query - Student_Marks (13)" description="Connection to the 'Student_Marks (13)' query in the workbook." type="5" refreshedVersion="8" background="1" saveData="1">
    <dbPr connection="Provider=Microsoft.Mashup.OleDb.1;Data Source=$Workbook$;Location=&quot;Student_Marks (13)&quot;;Extended Properties=&quot;&quot;" command="SELECT * FROM [Student_Marks (13)]"/>
  </connection>
  <connection id="35" xr16:uid="{7B046355-714F-4F6F-9249-D0C98077DC14}" keepAlive="1" name="Query - Student_Marks (14)" description="Connection to the 'Student_Marks (14)' query in the workbook." type="5" refreshedVersion="8" background="1" saveData="1">
    <dbPr connection="Provider=Microsoft.Mashup.OleDb.1;Data Source=$Workbook$;Location=&quot;Student_Marks (14)&quot;;Extended Properties=&quot;&quot;" command="SELECT * FROM [Student_Marks (14)]"/>
  </connection>
  <connection id="36" xr16:uid="{4580F67F-3510-4EF3-8A49-DF6F7045A0C7}" keepAlive="1" name="Query - Student_Marks (15)" description="Connection to the 'Student_Marks (15)' query in the workbook." type="5" refreshedVersion="8" background="1" saveData="1">
    <dbPr connection="Provider=Microsoft.Mashup.OleDb.1;Data Source=$Workbook$;Location=&quot;Student_Marks (15)&quot;;Extended Properties=&quot;&quot;" command="SELECT * FROM [Student_Marks (15)]"/>
  </connection>
  <connection id="37" xr16:uid="{40A49B5E-8EDB-4E00-A0D5-18214ECA64C4}" keepAlive="1" name="Query - Student_Marks (16)" description="Connection to the 'Student_Marks (16)' query in the workbook." type="5" refreshedVersion="8" background="1" saveData="1">
    <dbPr connection="Provider=Microsoft.Mashup.OleDb.1;Data Source=$Workbook$;Location=&quot;Student_Marks (16)&quot;;Extended Properties=&quot;&quot;" command="SELECT * FROM [Student_Marks (16)]"/>
  </connection>
  <connection id="38" xr16:uid="{FE77FB91-3471-4A69-909F-FF6C8440C87D}" keepAlive="1" name="Query - Student_Marks (2)" description="Connection to the 'Student_Marks (2)' query in the workbook." type="5" refreshedVersion="8" background="1" saveData="1">
    <dbPr connection="Provider=Microsoft.Mashup.OleDb.1;Data Source=$Workbook$;Location=&quot;Student_Marks (2)&quot;;Extended Properties=&quot;&quot;" command="SELECT * FROM [Student_Marks (2)]"/>
  </connection>
  <connection id="39" xr16:uid="{ECE15A3F-C01E-408C-9E96-2F96D488E1B6}" keepAlive="1" name="Query - Student_Marks (3)" description="Connection to the 'Student_Marks (3)' query in the workbook." type="5" refreshedVersion="8" background="1" saveData="1">
    <dbPr connection="Provider=Microsoft.Mashup.OleDb.1;Data Source=$Workbook$;Location=&quot;Student_Marks (3)&quot;;Extended Properties=&quot;&quot;" command="SELECT * FROM [Student_Marks (3)]"/>
  </connection>
  <connection id="40" xr16:uid="{E6F88527-C5AB-4866-AC80-FBA90985A16D}" keepAlive="1" name="Query - Student_Marks (4)" description="Connection to the 'Student_Marks (4)' query in the workbook." type="5" refreshedVersion="8" background="1" saveData="1">
    <dbPr connection="Provider=Microsoft.Mashup.OleDb.1;Data Source=$Workbook$;Location=&quot;Student_Marks (4)&quot;;Extended Properties=&quot;&quot;" command="SELECT * FROM [Student_Marks (4)]"/>
  </connection>
  <connection id="41" xr16:uid="{0CC4EAFF-AEFE-4EE4-A98C-D3D415FF804C}" keepAlive="1" name="Query - Student_Marks (5)" description="Connection to the 'Student_Marks (5)' query in the workbook." type="5" refreshedVersion="8" background="1" saveData="1">
    <dbPr connection="Provider=Microsoft.Mashup.OleDb.1;Data Source=$Workbook$;Location=&quot;Student_Marks (5)&quot;;Extended Properties=&quot;&quot;" command="SELECT * FROM [Student_Marks (5)]"/>
  </connection>
  <connection id="42" xr16:uid="{EB80249B-006D-472F-9BD0-77A98CF7077F}" keepAlive="1" name="Query - Student_Marks (6)" description="Connection to the 'Student_Marks (6)' query in the workbook." type="5" refreshedVersion="8" background="1" saveData="1">
    <dbPr connection="Provider=Microsoft.Mashup.OleDb.1;Data Source=$Workbook$;Location=&quot;Student_Marks (6)&quot;;Extended Properties=&quot;&quot;" command="SELECT * FROM [Student_Marks (6)]"/>
  </connection>
  <connection id="43" xr16:uid="{9A3FFAA3-CCAE-43AB-B0EA-B426A9D714EA}" keepAlive="1" name="Query - Student_Marks (7)" description="Connection to the 'Student_Marks (7)' query in the workbook." type="5" refreshedVersion="8" background="1" saveData="1">
    <dbPr connection="Provider=Microsoft.Mashup.OleDb.1;Data Source=$Workbook$;Location=&quot;Student_Marks (7)&quot;;Extended Properties=&quot;&quot;" command="SELECT * FROM [Student_Marks (7)]"/>
  </connection>
  <connection id="44" xr16:uid="{3FD31EE3-E89C-43DE-9E5C-E5AA5424FB95}" keepAlive="1" name="Query - Student_Marks (8)" description="Connection to the 'Student_Marks (8)' query in the workbook." type="5" refreshedVersion="8" background="1" saveData="1">
    <dbPr connection="Provider=Microsoft.Mashup.OleDb.1;Data Source=$Workbook$;Location=&quot;Student_Marks (8)&quot;;Extended Properties=&quot;&quot;" command="SELECT * FROM [Student_Marks (8)]"/>
  </connection>
  <connection id="45" xr16:uid="{89239E07-52E1-45AC-BDB8-31E38A6CC6FD}" keepAlive="1" name="Query - Student_Marks (9)" description="Connection to the 'Student_Marks (9)' query in the workbook." type="5" refreshedVersion="8" background="1" saveData="1">
    <dbPr connection="Provider=Microsoft.Mashup.OleDb.1;Data Source=$Workbook$;Location=&quot;Student_Marks (9)&quot;;Extended Properties=&quot;&quot;" command="SELECT * FROM [Student_Marks (9)]"/>
  </connection>
  <connection id="46" xr16:uid="{627A73DC-DB87-4DD7-8C87-7A0B4CD182F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7" xr16:uid="{AF7ECE70-E719-4D79-B983-E9A00A397AF9}" name="WorksheetConnection_Book2!Instructions" type="102" refreshedVersion="8" minRefreshableVersion="5">
    <extLst>
      <ext xmlns:x15="http://schemas.microsoft.com/office/spreadsheetml/2010/11/main" uri="{DE250136-89BD-433C-8126-D09CA5730AF9}">
        <x15:connection id="Instructions">
          <x15:rangePr sourceName="_xlcn.WorksheetConnection_Book2Instructions1"/>
        </x15:connection>
      </ext>
    </extLst>
  </connection>
  <connection id="48" xr16:uid="{7FFE3D77-5D27-450D-8270-5282A030DF00}" name="WorksheetConnection_Book2!Product_Master" type="102" refreshedVersion="8" minRefreshableVersion="5">
    <extLst>
      <ext xmlns:x15="http://schemas.microsoft.com/office/spreadsheetml/2010/11/main" uri="{DE250136-89BD-433C-8126-D09CA5730AF9}">
        <x15:connection id="Product_Master">
          <x15:rangePr sourceName="_xlcn.WorksheetConnection_Book2Product_Master1"/>
        </x15:connection>
      </ext>
    </extLst>
  </connection>
  <connection id="49" xr16:uid="{1C4385D5-8C84-4E7C-B6D2-4AAF4E24A7F1}" name="WorksheetConnection_Book2!Questions" type="102" refreshedVersion="8" minRefreshableVersion="5">
    <extLst>
      <ext xmlns:x15="http://schemas.microsoft.com/office/spreadsheetml/2010/11/main" uri="{DE250136-89BD-433C-8126-D09CA5730AF9}">
        <x15:connection id="Questions">
          <x15:rangePr sourceName="_xlcn.WorksheetConnection_Book2Questions1"/>
        </x15:connection>
      </ext>
    </extLst>
  </connection>
  <connection id="50" xr16:uid="{5EA63455-7B7F-4E86-BAF1-5188D1867016}" name="WorksheetConnection_Book2!Sales_Data" type="102" refreshedVersion="8" minRefreshableVersion="5">
    <extLst>
      <ext xmlns:x15="http://schemas.microsoft.com/office/spreadsheetml/2010/11/main" uri="{DE250136-89BD-433C-8126-D09CA5730AF9}">
        <x15:connection id="Sales_Data">
          <x15:rangePr sourceName="_xlcn.WorksheetConnection_Book2Sales_Data1"/>
        </x15:connection>
      </ext>
    </extLst>
  </connection>
  <connection id="51" xr16:uid="{A725536F-2BA0-4C5B-A6EA-55BF4151CEE0}" name="WorksheetConnection_Book2!Sales_Data1327" type="102" refreshedVersion="8" minRefreshableVersion="5">
    <extLst>
      <ext xmlns:x15="http://schemas.microsoft.com/office/spreadsheetml/2010/11/main" uri="{DE250136-89BD-433C-8126-D09CA5730AF9}">
        <x15:connection id="Sales_Data1327">
          <x15:rangePr sourceName="_xlcn.WorksheetConnection_Book2Sales_Data13271"/>
        </x15:connection>
      </ext>
    </extLst>
  </connection>
  <connection id="52" xr16:uid="{4853300A-07D7-4F1E-B8F4-A5116EE9447D}" name="WorksheetConnection_Book2!Sales_Data8" type="102" refreshedVersion="8" minRefreshableVersion="5">
    <extLst>
      <ext xmlns:x15="http://schemas.microsoft.com/office/spreadsheetml/2010/11/main" uri="{DE250136-89BD-433C-8126-D09CA5730AF9}">
        <x15:connection id="Sales_Data8">
          <x15:rangePr sourceName="_xlcn.WorksheetConnection_Book2Sales_Data81"/>
        </x15:connection>
      </ext>
    </extLst>
  </connection>
  <connection id="53" xr16:uid="{33A2A654-994C-4E9C-AF73-ABA5E69E9EBB}" name="WorksheetConnection_Book2!Student_Marks31" type="102" refreshedVersion="8" minRefreshableVersion="5">
    <extLst>
      <ext xmlns:x15="http://schemas.microsoft.com/office/spreadsheetml/2010/11/main" uri="{DE250136-89BD-433C-8126-D09CA5730AF9}">
        <x15:connection id="Student_Marks31">
          <x15:rangePr sourceName="_xlcn.WorksheetConnection_Book2Student_Marks3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<sst xmlns="http://schemas.openxmlformats.org/spreadsheetml/2006/main" count="622" uniqueCount="107">
  <si>
    <t>Column1</t>
  </si>
  <si>
    <t>MS Excel Practical Exam</t>
  </si>
  <si>
    <t>Total Questions: 30</t>
  </si>
  <si>
    <t>Difficulty Level: Medium</t>
  </si>
  <si>
    <t>Syllabus: Formulas, Logical Functions, Lookups, INDEX-MATCH, Pivot Tables &amp; Charts, Data Analysis</t>
  </si>
  <si>
    <t>Attempt all questions using appropriate Excel tools/functions.</t>
  </si>
  <si>
    <t>Product</t>
  </si>
  <si>
    <t>Category</t>
  </si>
  <si>
    <t>GST_%</t>
  </si>
  <si>
    <t>Laptop</t>
  </si>
  <si>
    <t>Electronics</t>
  </si>
  <si>
    <t>Mobile</t>
  </si>
  <si>
    <t>Tablet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</si>
  <si>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</si>
  <si>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</si>
  <si>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</si>
  <si>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</si>
  <si>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</si>
  <si>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</si>
  <si>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</si>
  <si>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</si>
  <si>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</si>
  <si>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1. Calculate Total Sales for each order (Quantity × Unit_Price).</t>
  </si>
  <si>
    <t>2. Calculate GST Amount using VLOOKUP from Product_Master.</t>
  </si>
  <si>
    <t>3. Find Final Amount payable (Total Sales + GST).</t>
  </si>
  <si>
    <t>4. Find Grand Total of Final Amount.</t>
  </si>
  <si>
    <t>5. Count total number of orders using COUNTA.</t>
  </si>
  <si>
    <t>6. Find Region-wise total sales using SUMIF.</t>
  </si>
  <si>
    <t>7. Use IF to classify Quantity as High (&gt;3) or Low (&lt;=3).</t>
  </si>
  <si>
    <t>8. Find the maximum and minimum Final Amount.</t>
  </si>
  <si>
    <t>9. Extract month name from Sales_Date.</t>
  </si>
  <si>
    <t>10. Sort Sales_Data by Final Amount (Descending).</t>
  </si>
  <si>
    <t>11. Use INDEX-MATCH to fetch Product Category.</t>
  </si>
  <si>
    <t>12. Calculate average marks of each student.</t>
  </si>
  <si>
    <t>13. Find the topper based on average marks.</t>
  </si>
  <si>
    <t>14. Count students with Attendance above 90%.</t>
  </si>
  <si>
    <t>15. Use IF to classify students as Eligible (Attendance &gt;= 85%).</t>
  </si>
  <si>
    <t>16. Create a Pivot Table showing Product-wise Total Sales.</t>
  </si>
  <si>
    <t>17. Create a Pivot Table showing Region-wise Total Sales.</t>
  </si>
  <si>
    <t>18. Insert a Pivot Chart for Product-wise Sales.</t>
  </si>
  <si>
    <t>19. Create a Bar Chart for Student Excel marks.</t>
  </si>
  <si>
    <t>20. Find Median of Statistics marks.</t>
  </si>
  <si>
    <t>21. Find Standard Deviation of Excel marks.</t>
  </si>
  <si>
    <t>22. Use CONCAT to combine Student_ID and Name.</t>
  </si>
  <si>
    <t>23. Use LEFT function to extract first 2 letters of Salesperson name.</t>
  </si>
  <si>
    <t>24. Apply Conditional Formatting to highlight Final Amount &gt; 60000.</t>
  </si>
  <si>
    <t>25. Filter orders where Product is Laptop and Quantity &gt; 1.</t>
  </si>
  <si>
    <t>26. Use COUNTIFS to count Laptop orders in North region.</t>
  </si>
  <si>
    <t>27. Use ROUND to round Unit_Price to nearest thousand.</t>
  </si>
  <si>
    <t>28. Remove duplicate records if present.</t>
  </si>
  <si>
    <t>29. Freeze top row in Sales_Data sheet.</t>
  </si>
  <si>
    <t>30. Protect the Student_Marks sheet.</t>
  </si>
  <si>
    <t>Order_ID</t>
  </si>
  <si>
    <t>Region</t>
  </si>
  <si>
    <t>Salesperson</t>
  </si>
  <si>
    <t>Quantity</t>
  </si>
  <si>
    <t>Unit_Price</t>
  </si>
  <si>
    <t>Sales_Date</t>
  </si>
  <si>
    <t>North</t>
  </si>
  <si>
    <t>Amit</t>
  </si>
  <si>
    <t>South</t>
  </si>
  <si>
    <t>Riya</t>
  </si>
  <si>
    <t>East</t>
  </si>
  <si>
    <t>Kunal</t>
  </si>
  <si>
    <t>West</t>
  </si>
  <si>
    <t>Neha</t>
  </si>
  <si>
    <t>Student_ID</t>
  </si>
  <si>
    <t>Name</t>
  </si>
  <si>
    <t>Maths</t>
  </si>
  <si>
    <t>Statistics</t>
  </si>
  <si>
    <t>Excel</t>
  </si>
  <si>
    <t>Attendance_%</t>
  </si>
  <si>
    <t>Rahul</t>
  </si>
  <si>
    <t>Sneha</t>
  </si>
  <si>
    <t>Arjun</t>
  </si>
  <si>
    <t>Pooja</t>
  </si>
  <si>
    <t>Vikas</t>
  </si>
  <si>
    <t>Total Sales</t>
  </si>
  <si>
    <t>Quntity</t>
  </si>
  <si>
    <t>Average</t>
  </si>
  <si>
    <t>Row Labels</t>
  </si>
  <si>
    <t>Grand Total</t>
  </si>
  <si>
    <t>Final Amt</t>
  </si>
  <si>
    <t>topper Aevrge</t>
  </si>
  <si>
    <t>eligible</t>
  </si>
  <si>
    <t>Sum of Total Sales</t>
  </si>
  <si>
    <t>Sum of Excel</t>
  </si>
  <si>
    <t>Median</t>
  </si>
  <si>
    <t>S.D</t>
  </si>
  <si>
    <t>Concat</t>
  </si>
  <si>
    <t>Left</t>
  </si>
  <si>
    <t>Countifs</t>
  </si>
  <si>
    <t>GST AMT</t>
  </si>
  <si>
    <t>Final Amt Total</t>
  </si>
  <si>
    <t>Count Total Number Of Orders</t>
  </si>
  <si>
    <t>Region2</t>
  </si>
  <si>
    <t>total sales2</t>
  </si>
  <si>
    <t>High &amp; Low</t>
  </si>
  <si>
    <t>Maximum</t>
  </si>
  <si>
    <t>Minumum</t>
  </si>
  <si>
    <t>Extract</t>
  </si>
  <si>
    <t>Fetch</t>
  </si>
  <si>
    <t>topper</t>
  </si>
  <si>
    <t>attebdance 90 Above</t>
  </si>
  <si>
    <t>Round</t>
  </si>
  <si>
    <t>There is no any duplicate</t>
  </si>
  <si>
    <t>select table and go to the view tab then go to the freeze pan and select top row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</si>
</sst>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7030A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2" xfId="0" applyBorder="1"/>
    <xf numFmtId="1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14" fontId="0" fillId="0" borderId="10" xfId="0" applyNumberFormat="1" applyBorder="1"/>
    <xf numFmtId="14" fontId="0" fillId="0" borderId="3" xfId="0" applyNumberFormat="1" applyBorder="1"/>
    <xf numFmtId="14" fontId="0" fillId="0" borderId="11" xfId="0" applyNumberFormat="1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4" fillId="5" borderId="3" xfId="0" applyFont="1" applyFill="1" applyBorder="1"/>
    <xf numFmtId="0" fontId="2" fillId="6" borderId="3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0" fillId="3" borderId="4" xfId="0" applyFont="1" applyFill="1" applyBorder="1"/>
    <xf numFmtId="0" fontId="0" fillId="0" borderId="4" xfId="0" applyFont="1" applyBorder="1"/>
    <xf numFmtId="0" fontId="1" fillId="2" borderId="6" xfId="0" applyFont="1" applyFill="1" applyBorder="1"/>
    <xf numFmtId="0" fontId="0" fillId="0" borderId="8" xfId="0" applyFont="1" applyBorder="1"/>
    <xf numFmtId="0" fontId="5" fillId="10" borderId="0" xfId="0" applyFont="1" applyFill="1" applyAlignment="1">
      <alignment horizontal="center" vertical="center"/>
    </xf>
    <xf numFmtId="0" fontId="5" fillId="10" borderId="3" xfId="0" applyFont="1" applyFill="1" applyBorder="1" applyAlignment="1">
      <alignment vertical="center"/>
    </xf>
    <xf numFmtId="0" fontId="0" fillId="10" borderId="3" xfId="0" applyFill="1" applyBorder="1"/>
    <xf numFmtId="14" fontId="0" fillId="0" borderId="7" xfId="0" applyNumberFormat="1" applyBorder="1"/>
    <xf numFmtId="14" fontId="0" fillId="0" borderId="5" xfId="0" applyNumberFormat="1" applyBorder="1"/>
    <xf numFmtId="14" fontId="0" fillId="0" borderId="9" xfId="0" applyNumberFormat="1" applyBorder="1"/>
    <xf numFmtId="0" fontId="3" fillId="4" borderId="0" xfId="0" applyFont="1" applyFill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141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9" formatCode="dd/mm/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39" Type="http://schemas.openxmlformats.org/officeDocument/2006/relationships/customXml" Target="../customXml/item22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38" Type="http://schemas.openxmlformats.org/officeDocument/2006/relationships/customXml" Target="../customXml/item2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40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pivotCacheDefinition" Target="pivotCache/pivotCacheDefinition3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[assement 20 (2).xlsx]pivot!PivotTable12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pivot!$B$24:$B$29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pivot!$C$24:$C$29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4A-47DB-8921-6BEBA4D47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1086095"/>
        <c:axId val="561082351"/>
        <c:axId val="0"/>
      </c:bar3DChart>
      <c:catAx>
        <c:axId val="56108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2351"/>
        <c:crosses val="autoZero"/>
        <c:auto val="1"/>
        <c:lblAlgn val="ctr"/>
        <c:lblOffset val="100"/>
        <c:noMultiLvlLbl val="0"/>
      </c:catAx>
      <c:valAx>
        <c:axId val="56108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[assement 20 (2).xlsx]pivot!PivotTable9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pivot!$C$9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pivot!$B$10:$B$13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pivot!$C$10:$C$13</c:f>
              <c:numCache>
                <c:formatCode>General</c:formatCode>
                <c:ptCount val="3"/>
                <c:pt idx="0">
                  <c:v>414000</c:v>
                </c:pt>
                <c:pt idx="1">
                  <c:v>414000</c:v>
                </c:pt>
                <c:pt idx="2">
                  <c:v>414000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58-4D21-A3F4-E1A08BFE1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0220431"/>
        <c:axId val="690167599"/>
        <c:axId val="0"/>
      </c:bar3DChart>
      <c:catAx>
        <c:axId val="69022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167599"/>
        <c:crosses val="autoZero"/>
        <c:auto val="1"/>
        <c:lblAlgn val="ctr"/>
        <c:lblOffset val="100"/>
        <c:noMultiLvlLbl val="0"/>
      </c:catAx>
      <c:valAx>
        <c:axId val="6901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02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[assement 20 (2).xlsx]pivot!PivotTable12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pivot!$C$23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pivot!$B$24:$B$29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pivot!$C$24:$C$29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72</c:v>
                </c:pt>
                <c:pt idx="3">
                  <c:v>94</c:v>
                </c:pt>
                <c:pt idx="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2-4A33-B191-8C67EF2AB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1086095"/>
        <c:axId val="561082351"/>
        <c:axId val="0"/>
      </c:bar3DChart>
      <c:catAx>
        <c:axId val="56108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2351"/>
        <c:crosses val="autoZero"/>
        <c:auto val="1"/>
        <c:lblAlgn val="ctr"/>
        <c:lblOffset val="100"/>
        <c:noMultiLvlLbl val="0"/>
      </c:catAx>
      <c:valAx>
        <c:axId val="56108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18</xdr:row>
      <xdr:rowOff>100012</xdr:rowOff>
    </xdr:from>
    <xdr:to>
      <xdr:col>11</xdr:col>
      <xdr:colOff>161925</xdr:colOff>
      <xdr:row>32</xdr:row>
      <xdr:rowOff>176212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831854-EF97-B57F-C0C6-7656121CE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168</xdr:row>
      <xdr:rowOff>95250</xdr:rowOff>
    </xdr:from>
    <xdr:to>
      <xdr:col>5</xdr:col>
      <xdr:colOff>152400</xdr:colOff>
      <xdr:row>182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9792D8-64BF-42D2-913D-924D5F39B7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191</xdr:row>
      <xdr:rowOff>66675</xdr:rowOff>
    </xdr:from>
    <xdr:to>
      <xdr:col>6</xdr:col>
      <xdr:colOff>104775</xdr:colOff>
      <xdr:row>205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B339F-479B-4030-BCB0-2B8B84395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35.762023495372" createdVersion="5" refreshedVersion="8" minRefreshableVersion="3" recordCount="0" supportSubquery="1" supportAdvancedDrill="1" xr:uid="{3B9AAA44-2FDA-43B2-95C7-DC3AE2826628}">
  <cacheSource type="external" connectionId="46"/>
  <cacheFields count="2">
    <cacheField name="[Measures].[Sum of Excel]" caption="Sum of Excel" numFmtId="0" hierarchy="57" level="32767"/>
    <cacheField name="[Student_Marks31].[Student_ID].[Student_ID]" caption="Student_ID" numFmtId="0" hierarchy="38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Student_Marks31].[Student_ID].&amp;[1]"/>
            <x15:cachedUniqueName index="1" name="[Student_Marks31].[Student_ID].&amp;[2]"/>
            <x15:cachedUniqueName index="2" name="[Student_Marks31].[Student_ID].&amp;[3]"/>
            <x15:cachedUniqueName index="3" name="[Student_Marks31].[Student_ID].&amp;[4]"/>
            <x15:cachedUniqueName index="4" name="[Student_Marks31].[Student_ID].&amp;[5]"/>
          </x15:cachedUniqueNames>
        </ext>
      </extLst>
    </cacheField>
  </cacheFields>
  <cacheHierarchies count="58">
    <cacheHierarchy uniqueName="[Instructions].[Column1]" caption="Column1" attribute="1" defaultMemberUniqueName="[Instructions].[Column1].[All]" allUniqueName="[Instructions].[Column1].[All]" dimensionUniqueName="[Instructions]" displayFolder="" count="0" memberValueDatatype="130" unbalanced="0"/>
    <cacheHierarchy uniqueName="[Product_Master].[Product]" caption="Product" attribute="1" defaultMemberUniqueName="[Product_Master].[Product].[All]" allUniqueName="[Product_Master].[Product].[All]" dimensionUniqueName="[Product_Master]" displayFolder="" count="0" memberValueDatatype="130" unbalanced="0"/>
    <cacheHierarchy uniqueName="[Product_Master].[Category]" caption="Category" attribute="1" defaultMemberUniqueName="[Product_Master].[Category].[All]" allUniqueName="[Product_Master].[Category].[All]" dimensionUniqueName="[Product_Master]" displayFolder="" count="0" memberValueDatatype="130" unbalanced="0"/>
    <cacheHierarchy uniqueName="[Product_Master].[GST_%]" caption="GST_%" attribute="1" defaultMemberUniqueName="[Product_Master].[GST_%].[All]" allUniqueName="[Product_Master].[GST_%].[All]" dimensionUniqueName="[Product_Master]" displayFolder="" count="0" memberValueDatatype="20" unbalanced="0"/>
    <cacheHierarchy uniqueName="[Questions].[Column1]" caption="Column1" attribute="1" defaultMemberUniqueName="[Questions].[Column1].[All]" allUniqueName="[Questions].[Column1].[All]" dimensionUniqueName="[Questions]" displayFolder="" count="0" memberValueDatatype="130" unbalanced="0"/>
    <cacheHierarchy uniqueName="[Questions].[Column2]" caption="Column2" attribute="1" defaultMemberUniqueName="[Questions].[Column2].[All]" allUniqueName="[Questions].[Column2].[All]" dimensionUniqueName="[Questions]" displayFolder="" count="0" memberValueDatatype="130" unbalanced="0"/>
    <cacheHierarchy uniqueName="[Questions].[Column3]" caption="Column3" attribute="1" defaultMemberUniqueName="[Questions].[Column3].[All]" allUniqueName="[Questions].[Column3].[All]" dimensionUniqueName="[Questions]" displayFolder="" count="0" memberValueDatatype="130" unbalanced="0"/>
    <cacheHierarchy uniqueName="[Questions].[Column4]" caption="Column4" attribute="1" defaultMemberUniqueName="[Questions].[Column4].[All]" allUniqueName="[Questions].[Column4].[All]" dimensionUniqueName="[Questions]" displayFolder="" count="0" memberValueDatatype="130" unbalanced="0"/>
    <cacheHierarchy uniqueName="[Questions].[Column5]" caption="Column5" attribute="1" defaultMemberUniqueName="[Questions].[Column5].[All]" allUniqueName="[Questions].[Column5].[All]" dimensionUniqueName="[Questions]" displayFolder="" count="0" memberValueDatatype="130" unbalanced="0"/>
    <cacheHierarchy uniqueName="[Questions].[Column6]" caption="Column6" attribute="1" defaultMemberUniqueName="[Questions].[Column6].[All]" allUniqueName="[Questions].[Column6].[All]" dimensionUniqueName="[Questions]" displayFolder="" count="0" memberValueDatatype="130" unbalanced="0"/>
    <cacheHierarchy uniqueName="[Questions].[Column7]" caption="Column7" attribute="1" defaultMemberUniqueName="[Questions].[Column7].[All]" allUniqueName="[Questions].[Column7].[All]" dimensionUniqueName="[Questions]" displayFolder="" count="0" memberValueDatatype="130" unbalanced="0"/>
    <cacheHierarchy uniqueName="[Questions].[Column8]" caption="Column8" attribute="1" defaultMemberUniqueName="[Questions].[Column8].[All]" allUniqueName="[Questions].[Column8].[All]" dimensionUniqueName="[Questions]" displayFolder="" count="0" memberValueDatatype="130" unbalanced="0"/>
    <cacheHierarchy uniqueName="[Questions].[Column9]" caption="Column9" attribute="1" defaultMemberUniqueName="[Questions].[Column9].[All]" allUniqueName="[Questions].[Column9].[All]" dimensionUniqueName="[Questions]" displayFolder="" count="0" memberValueDatatype="130" unbalanced="0"/>
    <cacheHierarchy uniqueName="[Questions].[Column10]" caption="Column10" attribute="1" defaultMemberUniqueName="[Questions].[Column10].[All]" allUniqueName="[Questions].[Column10].[All]" dimensionUniqueName="[Questions]" displayFolder="" count="0" memberValueDatatype="20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2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Sales_Date]" caption="Sales_Date" attribute="1" time="1" defaultMemberUniqueName="[Sales_Data].[Sales_Date].[All]" allUniqueName="[Sales_Data].[Sales_Date].[All]" dimensionUniqueName="[Sales_Data]" displayFolder="" count="0" memberValueDatatype="7" unbalanced="0"/>
    <cacheHierarchy uniqueName="[Sales_Data1327].[Order_ID]" caption="Order_ID" attribute="1" defaultMemberUniqueName="[Sales_Data1327].[Order_ID].[All]" allUniqueName="[Sales_Data1327].[Order_ID].[All]" dimensionUniqueName="[Sales_Data1327]" displayFolder="" count="0" memberValueDatatype="20" unbalanced="0"/>
    <cacheHierarchy uniqueName="[Sales_Data1327].[Region]" caption="Region" attribute="1" defaultMemberUniqueName="[Sales_Data1327].[Region].[All]" allUniqueName="[Sales_Data1327].[Region].[All]" dimensionUniqueName="[Sales_Data1327]" displayFolder="" count="0" memberValueDatatype="130" unbalanced="0"/>
    <cacheHierarchy uniqueName="[Sales_Data1327].[Salesperson]" caption="Salesperson" attribute="1" defaultMemberUniqueName="[Sales_Data1327].[Salesperson].[All]" allUniqueName="[Sales_Data1327].[Salesperson].[All]" dimensionUniqueName="[Sales_Data1327]" displayFolder="" count="0" memberValueDatatype="130" unbalanced="0"/>
    <cacheHierarchy uniqueName="[Sales_Data1327].[Product]" caption="Product" attribute="1" defaultMemberUniqueName="[Sales_Data1327].[Product].[All]" allUniqueName="[Sales_Data1327].[Product].[All]" dimensionUniqueName="[Sales_Data1327]" displayFolder="" count="0" memberValueDatatype="130" unbalanced="0"/>
    <cacheHierarchy uniqueName="[Sales_Data1327].[Quantity]" caption="Quantity" attribute="1" defaultMemberUniqueName="[Sales_Data1327].[Quantity].[All]" allUniqueName="[Sales_Data1327].[Quantity].[All]" dimensionUniqueName="[Sales_Data1327]" displayFolder="" count="0" memberValueDatatype="20" unbalanced="0"/>
    <cacheHierarchy uniqueName="[Sales_Data1327].[Unit_Price]" caption="Unit_Price" attribute="1" defaultMemberUniqueName="[Sales_Data1327].[Unit_Price].[All]" allUniqueName="[Sales_Data1327].[Unit_Price].[All]" dimensionUniqueName="[Sales_Data1327]" displayFolder="" count="0" memberValueDatatype="20" unbalanced="0"/>
    <cacheHierarchy uniqueName="[Sales_Data1327].[Sales_Date]" caption="Sales_Date" attribute="1" time="1" defaultMemberUniqueName="[Sales_Data1327].[Sales_Date].[All]" allUniqueName="[Sales_Data1327].[Sales_Date].[All]" dimensionUniqueName="[Sales_Data1327]" displayFolder="" count="0" memberValueDatatype="7" unbalanced="0"/>
    <cacheHierarchy uniqueName="[Sales_Data1327].[Final Amt]" caption="Final Amt" attribute="1" defaultMemberUniqueName="[Sales_Data1327].[Final Amt].[All]" allUniqueName="[Sales_Data1327].[Final Amt].[All]" dimensionUniqueName="[Sales_Data1327]" displayFolder="" count="0" memberValueDatatype="20" unbalanced="0"/>
    <cacheHierarchy uniqueName="[Sales_Data1327].[Column1]" caption="Column1" attribute="1" defaultMemberUniqueName="[Sales_Data1327].[Column1].[All]" allUniqueName="[Sales_Data1327].[Column1].[All]" dimensionUniqueName="[Sales_Data1327]" displayFolder="" count="0" memberValueDatatype="130" unbalanced="0"/>
    <cacheHierarchy uniqueName="[Sales_Data8].[Order_ID]" caption="Order_ID" attribute="1" defaultMemberUniqueName="[Sales_Data8].[Order_ID].[All]" allUniqueName="[Sales_Data8].[Order_ID].[All]" dimensionUniqueName="[Sales_Data8]" displayFolder="" count="0" memberValueDatatype="20" unbalanced="0"/>
    <cacheHierarchy uniqueName="[Sales_Data8].[Region]" caption="Region" attribute="1" defaultMemberUniqueName="[Sales_Data8].[Region].[All]" allUniqueName="[Sales_Data8].[Region].[All]" dimensionUniqueName="[Sales_Data8]" displayFolder="" count="0" memberValueDatatype="130" unbalanced="0"/>
    <cacheHierarchy uniqueName="[Sales_Data8].[Salesperson]" caption="Salesperson" attribute="1" defaultMemberUniqueName="[Sales_Data8].[Salesperson].[All]" allUniqueName="[Sales_Data8].[Salesperson].[All]" dimensionUniqueName="[Sales_Data8]" displayFolder="" count="0" memberValueDatatype="130" unbalanced="0"/>
    <cacheHierarchy uniqueName="[Sales_Data8].[Product]" caption="Product" attribute="1" defaultMemberUniqueName="[Sales_Data8].[Product].[All]" allUniqueName="[Sales_Data8].[Product].[All]" dimensionUniqueName="[Sales_Data8]" displayFolder="" count="0" memberValueDatatype="130" unbalanced="0"/>
    <cacheHierarchy uniqueName="[Sales_Data8].[Quantity]" caption="Quantity" attribute="1" defaultMemberUniqueName="[Sales_Data8].[Quantity].[All]" allUniqueName="[Sales_Data8].[Quantity].[All]" dimensionUniqueName="[Sales_Data8]" displayFolder="" count="0" memberValueDatatype="20" unbalanced="0"/>
    <cacheHierarchy uniqueName="[Sales_Data8].[Unit_Price]" caption="Unit_Price" attribute="1" defaultMemberUniqueName="[Sales_Data8].[Unit_Price].[All]" allUniqueName="[Sales_Data8].[Unit_Price].[All]" dimensionUniqueName="[Sales_Data8]" displayFolder="" count="0" memberValueDatatype="20" unbalanced="0"/>
    <cacheHierarchy uniqueName="[Sales_Data8].[Sales_Date]" caption="Sales_Date" attribute="1" time="1" defaultMemberUniqueName="[Sales_Data8].[Sales_Date].[All]" allUniqueName="[Sales_Data8].[Sales_Date].[All]" dimensionUniqueName="[Sales_Data8]" displayFolder="" count="0" memberValueDatatype="7" unbalanced="0"/>
    <cacheHierarchy uniqueName="[Sales_Data8].[Total Sales]" caption="Total Sales" attribute="1" defaultMemberUniqueName="[Sales_Data8].[Total Sales].[All]" allUniqueName="[Sales_Data8].[Total Sales].[All]" dimensionUniqueName="[Sales_Data8]" displayFolder="" count="0" memberValueDatatype="20" unbalanced="0"/>
    <cacheHierarchy uniqueName="[Student_Marks31].[Student_ID]" caption="Student_ID" attribute="1" defaultMemberUniqueName="[Student_Marks31].[Student_ID].[All]" allUniqueName="[Student_Marks31].[Student_ID].[All]" dimensionUniqueName="[Student_Marks31]" displayFolder="" count="2" memberValueDatatype="20" unbalanced="0">
      <fieldsUsage count="2">
        <fieldUsage x="-1"/>
        <fieldUsage x="1"/>
      </fieldsUsage>
    </cacheHierarchy>
    <cacheHierarchy uniqueName="[Student_Marks31].[Name]" caption="Name" attribute="1" defaultMemberUniqueName="[Student_Marks31].[Name].[All]" allUniqueName="[Student_Marks31].[Name].[All]" dimensionUniqueName="[Student_Marks31]" displayFolder="" count="0" memberValueDatatype="130" unbalanced="0"/>
    <cacheHierarchy uniqueName="[Student_Marks31].[Maths]" caption="Maths" attribute="1" defaultMemberUniqueName="[Student_Marks31].[Maths].[All]" allUniqueName="[Student_Marks31].[Maths].[All]" dimensionUniqueName="[Student_Marks31]" displayFolder="" count="0" memberValueDatatype="20" unbalanced="0"/>
    <cacheHierarchy uniqueName="[Student_Marks31].[Statistics]" caption="Statistics" attribute="1" defaultMemberUniqueName="[Student_Marks31].[Statistics].[All]" allUniqueName="[Student_Marks31].[Statistics].[All]" dimensionUniqueName="[Student_Marks31]" displayFolder="" count="0" memberValueDatatype="20" unbalanced="0"/>
    <cacheHierarchy uniqueName="[Student_Marks31].[Excel]" caption="Excel" attribute="1" defaultMemberUniqueName="[Student_Marks31].[Excel].[All]" allUniqueName="[Student_Marks31].[Excel].[All]" dimensionUniqueName="[Student_Marks31]" displayFolder="" count="0" memberValueDatatype="20" unbalanced="0"/>
    <cacheHierarchy uniqueName="[Student_Marks31].[Attendance_%]" caption="Attendance_%" attribute="1" defaultMemberUniqueName="[Student_Marks31].[Attendance_%].[All]" allUniqueName="[Student_Marks31].[Attendance_%].[All]" dimensionUniqueName="[Student_Marks31]" displayFolder="" count="0" memberValueDatatype="20" unbalanced="0"/>
    <cacheHierarchy uniqueName="[Student_Marks31].[topper Aevrge]" caption="topper Aevrge" attribute="1" defaultMemberUniqueName="[Student_Marks31].[topper Aevrge].[All]" allUniqueName="[Student_Marks31].[topper Aevrge].[All]" dimensionUniqueName="[Student_Marks31]" displayFolder="" count="0" memberValueDatatype="5" unbalanced="0"/>
    <cacheHierarchy uniqueName="[Student_Marks31].[topper]" caption="topper" attribute="1" defaultMemberUniqueName="[Student_Marks31].[topper].[All]" allUniqueName="[Student_Marks31].[topper].[All]" dimensionUniqueName="[Student_Marks31]" displayFolder="" count="0" memberValueDatatype="130" unbalanced="0"/>
    <cacheHierarchy uniqueName="[Measures].[__XL_Count Instructions]" caption="__XL_Count Instructions" measure="1" displayFolder="" measureGroup="Instructions" count="0" hidden="1"/>
    <cacheHierarchy uniqueName="[Measures].[__XL_Count Product_Master]" caption="__XL_Count Product_Master" measure="1" displayFolder="" measureGroup="Product_Master" count="0" hidden="1"/>
    <cacheHierarchy uniqueName="[Measures].[__XL_Count Questions]" caption="__XL_Count Questions" measure="1" displayFolder="" measureGroup="Questions" count="0" hidden="1"/>
    <cacheHierarchy uniqueName="[Measures].[__XL_Count Sales_Data1327]" caption="__XL_Count Sales_Data1327" measure="1" displayFolder="" measureGroup="Sales_Data1327" count="0" hidden="1"/>
    <cacheHierarchy uniqueName="[Measures].[__XL_Count Sales_Data]" caption="__XL_Count Sales_Data" measure="1" displayFolder="" measureGroup="Sales_Data" count="0" hidden="1"/>
    <cacheHierarchy uniqueName="[Measures].[__XL_Count Sales_Data8]" caption="__XL_Count Sales_Data8" measure="1" displayFolder="" measureGroup="Sales_Data8" count="0" hidden="1"/>
    <cacheHierarchy uniqueName="[Measures].[__XL_Count Student_Marks31]" caption="__XL_Count Student_Marks31" measure="1" displayFolder="" measureGroup="Student_Marks31" count="0" hidden="1"/>
    <cacheHierarchy uniqueName="[Measures].[__No measures defined]" caption="__No measures defined" measure="1" displayFolder="" count="0" hidden="1"/>
    <cacheHierarchy uniqueName="[Measures].[Count of Column1]" caption="Count of Column1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Final Amt]" caption="Sum of Final Amt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 Sales]" caption="Sum of Total Sales" measure="1" displayFolder="" measureGroup="Sales_Data8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Excel]" caption="Sum of Excel" measure="1" displayFolder="" measureGroup="Student_Marks3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</cacheHierarchies>
  <kpis count="0"/>
  <dimensions count="8">
    <dimension name="Instructions" uniqueName="[Instructions]" caption="Instructions"/>
    <dimension measure="1" name="Measures" uniqueName="[Measures]" caption="Measures"/>
    <dimension name="Product_Master" uniqueName="[Product_Master]" caption="Product_Master"/>
    <dimension name="Questions" uniqueName="[Questions]" caption="Questions"/>
    <dimension name="Sales_Data" uniqueName="[Sales_Data]" caption="Sales_Data"/>
    <dimension name="Sales_Data1327" uniqueName="[Sales_Data1327]" caption="Sales_Data1327"/>
    <dimension name="Sales_Data8" uniqueName="[Sales_Data8]" caption="Sales_Data8"/>
    <dimension name="Student_Marks31" uniqueName="[Student_Marks31]" caption="Student_Marks31"/>
  </dimensions>
  <measureGroups count="7">
    <measureGroup name="Instructions" caption="Instructions"/>
    <measureGroup name="Product_Master" caption="Product_Master"/>
    <measureGroup name="Questions" caption="Questions"/>
    <measureGroup name="Sales_Data" caption="Sales_Data"/>
    <measureGroup name="Sales_Data1327" caption="Sales_Data1327"/>
    <measureGroup name="Sales_Data8" caption="Sales_Data8"/>
    <measureGroup name="Student_Marks31" caption="Student_Marks31"/>
  </measureGroups>
  <maps count="7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35.762024305557" createdVersion="5" refreshedVersion="8" minRefreshableVersion="3" recordCount="0" supportSubquery="1" supportAdvancedDrill="1" xr:uid="{AE8AF7AF-A383-4AB8-9C58-1BBEDBDFE513}">
  <cacheSource type="external" connectionId="46"/>
  <cacheFields count="2">
    <cacheField name="[Sales_Data1327].[Product].[Product]" caption="Product" numFmtId="0" hierarchy="24" level="1">
      <sharedItems count="3">
        <s v="Laptop"/>
        <s v="Mobile"/>
        <s v="Tablet"/>
      </sharedItems>
    </cacheField>
    <cacheField name="[Measures].[Sum of Total Sales]" caption="Sum of Total Sales" numFmtId="0" hierarchy="56" level="32767"/>
  </cacheFields>
  <cacheHierarchies count="58">
    <cacheHierarchy uniqueName="[Instructions].[Column1]" caption="Column1" attribute="1" defaultMemberUniqueName="[Instructions].[Column1].[All]" allUniqueName="[Instructions].[Column1].[All]" dimensionUniqueName="[Instructions]" displayFolder="" count="0" memberValueDatatype="130" unbalanced="0"/>
    <cacheHierarchy uniqueName="[Product_Master].[Product]" caption="Product" attribute="1" defaultMemberUniqueName="[Product_Master].[Product].[All]" allUniqueName="[Product_Master].[Product].[All]" dimensionUniqueName="[Product_Master]" displayFolder="" count="0" memberValueDatatype="130" unbalanced="0"/>
    <cacheHierarchy uniqueName="[Product_Master].[Category]" caption="Category" attribute="1" defaultMemberUniqueName="[Product_Master].[Category].[All]" allUniqueName="[Product_Master].[Category].[All]" dimensionUniqueName="[Product_Master]" displayFolder="" count="0" memberValueDatatype="130" unbalanced="0"/>
    <cacheHierarchy uniqueName="[Product_Master].[GST_%]" caption="GST_%" attribute="1" defaultMemberUniqueName="[Product_Master].[GST_%].[All]" allUniqueName="[Product_Master].[GST_%].[All]" dimensionUniqueName="[Product_Master]" displayFolder="" count="0" memberValueDatatype="20" unbalanced="0"/>
    <cacheHierarchy uniqueName="[Questions].[Column1]" caption="Column1" attribute="1" defaultMemberUniqueName="[Questions].[Column1].[All]" allUniqueName="[Questions].[Column1].[All]" dimensionUniqueName="[Questions]" displayFolder="" count="0" memberValueDatatype="130" unbalanced="0"/>
    <cacheHierarchy uniqueName="[Questions].[Column2]" caption="Column2" attribute="1" defaultMemberUniqueName="[Questions].[Column2].[All]" allUniqueName="[Questions].[Column2].[All]" dimensionUniqueName="[Questions]" displayFolder="" count="0" memberValueDatatype="130" unbalanced="0"/>
    <cacheHierarchy uniqueName="[Questions].[Column3]" caption="Column3" attribute="1" defaultMemberUniqueName="[Questions].[Column3].[All]" allUniqueName="[Questions].[Column3].[All]" dimensionUniqueName="[Questions]" displayFolder="" count="0" memberValueDatatype="130" unbalanced="0"/>
    <cacheHierarchy uniqueName="[Questions].[Column4]" caption="Column4" attribute="1" defaultMemberUniqueName="[Questions].[Column4].[All]" allUniqueName="[Questions].[Column4].[All]" dimensionUniqueName="[Questions]" displayFolder="" count="0" memberValueDatatype="130" unbalanced="0"/>
    <cacheHierarchy uniqueName="[Questions].[Column5]" caption="Column5" attribute="1" defaultMemberUniqueName="[Questions].[Column5].[All]" allUniqueName="[Questions].[Column5].[All]" dimensionUniqueName="[Questions]" displayFolder="" count="0" memberValueDatatype="130" unbalanced="0"/>
    <cacheHierarchy uniqueName="[Questions].[Column6]" caption="Column6" attribute="1" defaultMemberUniqueName="[Questions].[Column6].[All]" allUniqueName="[Questions].[Column6].[All]" dimensionUniqueName="[Questions]" displayFolder="" count="0" memberValueDatatype="130" unbalanced="0"/>
    <cacheHierarchy uniqueName="[Questions].[Column7]" caption="Column7" attribute="1" defaultMemberUniqueName="[Questions].[Column7].[All]" allUniqueName="[Questions].[Column7].[All]" dimensionUniqueName="[Questions]" displayFolder="" count="0" memberValueDatatype="130" unbalanced="0"/>
    <cacheHierarchy uniqueName="[Questions].[Column8]" caption="Column8" attribute="1" defaultMemberUniqueName="[Questions].[Column8].[All]" allUniqueName="[Questions].[Column8].[All]" dimensionUniqueName="[Questions]" displayFolder="" count="0" memberValueDatatype="130" unbalanced="0"/>
    <cacheHierarchy uniqueName="[Questions].[Column9]" caption="Column9" attribute="1" defaultMemberUniqueName="[Questions].[Column9].[All]" allUniqueName="[Questions].[Column9].[All]" dimensionUniqueName="[Questions]" displayFolder="" count="0" memberValueDatatype="130" unbalanced="0"/>
    <cacheHierarchy uniqueName="[Questions].[Column10]" caption="Column10" attribute="1" defaultMemberUniqueName="[Questions].[Column10].[All]" allUniqueName="[Questions].[Column10].[All]" dimensionUniqueName="[Questions]" displayFolder="" count="0" memberValueDatatype="20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20" unbalanced="0"/>
    <cacheHierarchy uniqueName="[Sales_Data].[Region]" caption="Region" attribute="1" defaultMemberUniqueName="[Sales_Data].[Region].[All]" allUniqueName="[Sales_Data].[Region].[All]" dimensionUniqueName="[Sales_Data]" displayFolder="" count="0" memberValueDatatype="130" unbalanced="0"/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Sales_Date]" caption="Sales_Date" attribute="1" time="1" defaultMemberUniqueName="[Sales_Data].[Sales_Date].[All]" allUniqueName="[Sales_Data].[Sales_Date].[All]" dimensionUniqueName="[Sales_Data]" displayFolder="" count="0" memberValueDatatype="7" unbalanced="0"/>
    <cacheHierarchy uniqueName="[Sales_Data1327].[Order_ID]" caption="Order_ID" attribute="1" defaultMemberUniqueName="[Sales_Data1327].[Order_ID].[All]" allUniqueName="[Sales_Data1327].[Order_ID].[All]" dimensionUniqueName="[Sales_Data1327]" displayFolder="" count="0" memberValueDatatype="20" unbalanced="0"/>
    <cacheHierarchy uniqueName="[Sales_Data1327].[Region]" caption="Region" attribute="1" defaultMemberUniqueName="[Sales_Data1327].[Region].[All]" allUniqueName="[Sales_Data1327].[Region].[All]" dimensionUniqueName="[Sales_Data1327]" displayFolder="" count="0" memberValueDatatype="130" unbalanced="0"/>
    <cacheHierarchy uniqueName="[Sales_Data1327].[Salesperson]" caption="Salesperson" attribute="1" defaultMemberUniqueName="[Sales_Data1327].[Salesperson].[All]" allUniqueName="[Sales_Data1327].[Salesperson].[All]" dimensionUniqueName="[Sales_Data1327]" displayFolder="" count="0" memberValueDatatype="130" unbalanced="0"/>
    <cacheHierarchy uniqueName="[Sales_Data1327].[Product]" caption="Product" attribute="1" defaultMemberUniqueName="[Sales_Data1327].[Product].[All]" allUniqueName="[Sales_Data1327].[Product].[All]" dimensionUniqueName="[Sales_Data1327]" displayFolder="" count="2" memberValueDatatype="130" unbalanced="0">
      <fieldsUsage count="2">
        <fieldUsage x="-1"/>
        <fieldUsage x="0"/>
      </fieldsUsage>
    </cacheHierarchy>
    <cacheHierarchy uniqueName="[Sales_Data1327].[Quantity]" caption="Quantity" attribute="1" defaultMemberUniqueName="[Sales_Data1327].[Quantity].[All]" allUniqueName="[Sales_Data1327].[Quantity].[All]" dimensionUniqueName="[Sales_Data1327]" displayFolder="" count="0" memberValueDatatype="20" unbalanced="0"/>
    <cacheHierarchy uniqueName="[Sales_Data1327].[Unit_Price]" caption="Unit_Price" attribute="1" defaultMemberUniqueName="[Sales_Data1327].[Unit_Price].[All]" allUniqueName="[Sales_Data1327].[Unit_Price].[All]" dimensionUniqueName="[Sales_Data1327]" displayFolder="" count="0" memberValueDatatype="20" unbalanced="0"/>
    <cacheHierarchy uniqueName="[Sales_Data1327].[Sales_Date]" caption="Sales_Date" attribute="1" time="1" defaultMemberUniqueName="[Sales_Data1327].[Sales_Date].[All]" allUniqueName="[Sales_Data1327].[Sales_Date].[All]" dimensionUniqueName="[Sales_Data1327]" displayFolder="" count="0" memberValueDatatype="7" unbalanced="0"/>
    <cacheHierarchy uniqueName="[Sales_Data1327].[Final Amt]" caption="Final Amt" attribute="1" defaultMemberUniqueName="[Sales_Data1327].[Final Amt].[All]" allUniqueName="[Sales_Data1327].[Final Amt].[All]" dimensionUniqueName="[Sales_Data1327]" displayFolder="" count="0" memberValueDatatype="20" unbalanced="0"/>
    <cacheHierarchy uniqueName="[Sales_Data1327].[Column1]" caption="Column1" attribute="1" defaultMemberUniqueName="[Sales_Data1327].[Column1].[All]" allUniqueName="[Sales_Data1327].[Column1].[All]" dimensionUniqueName="[Sales_Data1327]" displayFolder="" count="0" memberValueDatatype="130" unbalanced="0"/>
    <cacheHierarchy uniqueName="[Sales_Data8].[Order_ID]" caption="Order_ID" attribute="1" defaultMemberUniqueName="[Sales_Data8].[Order_ID].[All]" allUniqueName="[Sales_Data8].[Order_ID].[All]" dimensionUniqueName="[Sales_Data8]" displayFolder="" count="0" memberValueDatatype="20" unbalanced="0"/>
    <cacheHierarchy uniqueName="[Sales_Data8].[Region]" caption="Region" attribute="1" defaultMemberUniqueName="[Sales_Data8].[Region].[All]" allUniqueName="[Sales_Data8].[Region].[All]" dimensionUniqueName="[Sales_Data8]" displayFolder="" count="0" memberValueDatatype="130" unbalanced="0"/>
    <cacheHierarchy uniqueName="[Sales_Data8].[Salesperson]" caption="Salesperson" attribute="1" defaultMemberUniqueName="[Sales_Data8].[Salesperson].[All]" allUniqueName="[Sales_Data8].[Salesperson].[All]" dimensionUniqueName="[Sales_Data8]" displayFolder="" count="0" memberValueDatatype="130" unbalanced="0"/>
    <cacheHierarchy uniqueName="[Sales_Data8].[Product]" caption="Product" attribute="1" defaultMemberUniqueName="[Sales_Data8].[Product].[All]" allUniqueName="[Sales_Data8].[Product].[All]" dimensionUniqueName="[Sales_Data8]" displayFolder="" count="0" memberValueDatatype="130" unbalanced="0"/>
    <cacheHierarchy uniqueName="[Sales_Data8].[Quantity]" caption="Quantity" attribute="1" defaultMemberUniqueName="[Sales_Data8].[Quantity].[All]" allUniqueName="[Sales_Data8].[Quantity].[All]" dimensionUniqueName="[Sales_Data8]" displayFolder="" count="0" memberValueDatatype="20" unbalanced="0"/>
    <cacheHierarchy uniqueName="[Sales_Data8].[Unit_Price]" caption="Unit_Price" attribute="1" defaultMemberUniqueName="[Sales_Data8].[Unit_Price].[All]" allUniqueName="[Sales_Data8].[Unit_Price].[All]" dimensionUniqueName="[Sales_Data8]" displayFolder="" count="0" memberValueDatatype="20" unbalanced="0"/>
    <cacheHierarchy uniqueName="[Sales_Data8].[Sales_Date]" caption="Sales_Date" attribute="1" time="1" defaultMemberUniqueName="[Sales_Data8].[Sales_Date].[All]" allUniqueName="[Sales_Data8].[Sales_Date].[All]" dimensionUniqueName="[Sales_Data8]" displayFolder="" count="0" memberValueDatatype="7" unbalanced="0"/>
    <cacheHierarchy uniqueName="[Sales_Data8].[Total Sales]" caption="Total Sales" attribute="1" defaultMemberUniqueName="[Sales_Data8].[Total Sales].[All]" allUniqueName="[Sales_Data8].[Total Sales].[All]" dimensionUniqueName="[Sales_Data8]" displayFolder="" count="0" memberValueDatatype="20" unbalanced="0"/>
    <cacheHierarchy uniqueName="[Student_Marks31].[Student_ID]" caption="Student_ID" attribute="1" defaultMemberUniqueName="[Student_Marks31].[Student_ID].[All]" allUniqueName="[Student_Marks31].[Student_ID].[All]" dimensionUniqueName="[Student_Marks31]" displayFolder="" count="0" memberValueDatatype="20" unbalanced="0"/>
    <cacheHierarchy uniqueName="[Student_Marks31].[Name]" caption="Name" attribute="1" defaultMemberUniqueName="[Student_Marks31].[Name].[All]" allUniqueName="[Student_Marks31].[Name].[All]" dimensionUniqueName="[Student_Marks31]" displayFolder="" count="0" memberValueDatatype="130" unbalanced="0"/>
    <cacheHierarchy uniqueName="[Student_Marks31].[Maths]" caption="Maths" attribute="1" defaultMemberUniqueName="[Student_Marks31].[Maths].[All]" allUniqueName="[Student_Marks31].[Maths].[All]" dimensionUniqueName="[Student_Marks31]" displayFolder="" count="0" memberValueDatatype="20" unbalanced="0"/>
    <cacheHierarchy uniqueName="[Student_Marks31].[Statistics]" caption="Statistics" attribute="1" defaultMemberUniqueName="[Student_Marks31].[Statistics].[All]" allUniqueName="[Student_Marks31].[Statistics].[All]" dimensionUniqueName="[Student_Marks31]" displayFolder="" count="0" memberValueDatatype="20" unbalanced="0"/>
    <cacheHierarchy uniqueName="[Student_Marks31].[Excel]" caption="Excel" attribute="1" defaultMemberUniqueName="[Student_Marks31].[Excel].[All]" allUniqueName="[Student_Marks31].[Excel].[All]" dimensionUniqueName="[Student_Marks31]" displayFolder="" count="0" memberValueDatatype="20" unbalanced="0"/>
    <cacheHierarchy uniqueName="[Student_Marks31].[Attendance_%]" caption="Attendance_%" attribute="1" defaultMemberUniqueName="[Student_Marks31].[Attendance_%].[All]" allUniqueName="[Student_Marks31].[Attendance_%].[All]" dimensionUniqueName="[Student_Marks31]" displayFolder="" count="0" memberValueDatatype="20" unbalanced="0"/>
    <cacheHierarchy uniqueName="[Student_Marks31].[topper Aevrge]" caption="topper Aevrge" attribute="1" defaultMemberUniqueName="[Student_Marks31].[topper Aevrge].[All]" allUniqueName="[Student_Marks31].[topper Aevrge].[All]" dimensionUniqueName="[Student_Marks31]" displayFolder="" count="0" memberValueDatatype="5" unbalanced="0"/>
    <cacheHierarchy uniqueName="[Student_Marks31].[topper]" caption="topper" attribute="1" defaultMemberUniqueName="[Student_Marks31].[topper].[All]" allUniqueName="[Student_Marks31].[topper].[All]" dimensionUniqueName="[Student_Marks31]" displayFolder="" count="0" memberValueDatatype="130" unbalanced="0"/>
    <cacheHierarchy uniqueName="[Measures].[__XL_Count Instructions]" caption="__XL_Count Instructions" measure="1" displayFolder="" measureGroup="Instructions" count="0" hidden="1"/>
    <cacheHierarchy uniqueName="[Measures].[__XL_Count Product_Master]" caption="__XL_Count Product_Master" measure="1" displayFolder="" measureGroup="Product_Master" count="0" hidden="1"/>
    <cacheHierarchy uniqueName="[Measures].[__XL_Count Questions]" caption="__XL_Count Questions" measure="1" displayFolder="" measureGroup="Questions" count="0" hidden="1"/>
    <cacheHierarchy uniqueName="[Measures].[__XL_Count Sales_Data1327]" caption="__XL_Count Sales_Data1327" measure="1" displayFolder="" measureGroup="Sales_Data1327" count="0" hidden="1"/>
    <cacheHierarchy uniqueName="[Measures].[__XL_Count Sales_Data]" caption="__XL_Count Sales_Data" measure="1" displayFolder="" measureGroup="Sales_Data" count="0" hidden="1"/>
    <cacheHierarchy uniqueName="[Measures].[__XL_Count Sales_Data8]" caption="__XL_Count Sales_Data8" measure="1" displayFolder="" measureGroup="Sales_Data8" count="0" hidden="1"/>
    <cacheHierarchy uniqueName="[Measures].[__XL_Count Student_Marks31]" caption="__XL_Count Student_Marks31" measure="1" displayFolder="" measureGroup="Student_Marks31" count="0" hidden="1"/>
    <cacheHierarchy uniqueName="[Measures].[__No measures defined]" caption="__No measures defined" measure="1" displayFolder="" count="0" hidden="1"/>
    <cacheHierarchy uniqueName="[Measures].[Count of Column1]" caption="Count of Column1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Final Amt]" caption="Sum of Final Amt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 Sales]" caption="Sum of Total Sales" measure="1" displayFolder="" measureGroup="Sales_Data8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Excel]" caption="Sum of Excel" measure="1" displayFolder="" measureGroup="Student_Marks3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</cacheHierarchies>
  <kpis count="0"/>
  <dimensions count="8">
    <dimension name="Instructions" uniqueName="[Instructions]" caption="Instructions"/>
    <dimension measure="1" name="Measures" uniqueName="[Measures]" caption="Measures"/>
    <dimension name="Product_Master" uniqueName="[Product_Master]" caption="Product_Master"/>
    <dimension name="Questions" uniqueName="[Questions]" caption="Questions"/>
    <dimension name="Sales_Data" uniqueName="[Sales_Data]" caption="Sales_Data"/>
    <dimension name="Sales_Data1327" uniqueName="[Sales_Data1327]" caption="Sales_Data1327"/>
    <dimension name="Sales_Data8" uniqueName="[Sales_Data8]" caption="Sales_Data8"/>
    <dimension name="Student_Marks31" uniqueName="[Student_Marks31]" caption="Student_Marks31"/>
  </dimensions>
  <measureGroups count="7">
    <measureGroup name="Instructions" caption="Instructions"/>
    <measureGroup name="Product_Master" caption="Product_Master"/>
    <measureGroup name="Questions" caption="Questions"/>
    <measureGroup name="Sales_Data" caption="Sales_Data"/>
    <measureGroup name="Sales_Data1327" caption="Sales_Data1327"/>
    <measureGroup name="Sales_Data8" caption="Sales_Data8"/>
    <measureGroup name="Student_Marks31" caption="Student_Marks31"/>
  </measureGroups>
  <maps count="7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DC9" refreshedDate="46135.762025115742" createdVersion="5" refreshedVersion="8" minRefreshableVersion="3" recordCount="0" supportSubquery="1" supportAdvancedDrill="1" xr:uid="{113A2F37-65EF-4900-9017-5FD92AD54B9E}">
  <cacheSource type="external" connectionId="46"/>
  <cacheFields count="2">
    <cacheField name="[Sales_Data].[Region].[Region]" caption="Region" numFmtId="0" hierarchy="15" level="1">
      <sharedItems count="4">
        <s v="East"/>
        <s v="North"/>
        <s v="South"/>
        <s v="West"/>
      </sharedItems>
    </cacheField>
    <cacheField name="[Measures].[Sum of Total Sales]" caption="Sum of Total Sales" numFmtId="0" hierarchy="56" level="32767"/>
  </cacheFields>
  <cacheHierarchies count="58">
    <cacheHierarchy uniqueName="[Instructions].[Column1]" caption="Column1" attribute="1" defaultMemberUniqueName="[Instructions].[Column1].[All]" allUniqueName="[Instructions].[Column1].[All]" dimensionUniqueName="[Instructions]" displayFolder="" count="0" memberValueDatatype="130" unbalanced="0"/>
    <cacheHierarchy uniqueName="[Product_Master].[Product]" caption="Product" attribute="1" defaultMemberUniqueName="[Product_Master].[Product].[All]" allUniqueName="[Product_Master].[Product].[All]" dimensionUniqueName="[Product_Master]" displayFolder="" count="0" memberValueDatatype="130" unbalanced="0"/>
    <cacheHierarchy uniqueName="[Product_Master].[Category]" caption="Category" attribute="1" defaultMemberUniqueName="[Product_Master].[Category].[All]" allUniqueName="[Product_Master].[Category].[All]" dimensionUniqueName="[Product_Master]" displayFolder="" count="0" memberValueDatatype="130" unbalanced="0"/>
    <cacheHierarchy uniqueName="[Product_Master].[GST_%]" caption="GST_%" attribute="1" defaultMemberUniqueName="[Product_Master].[GST_%].[All]" allUniqueName="[Product_Master].[GST_%].[All]" dimensionUniqueName="[Product_Master]" displayFolder="" count="0" memberValueDatatype="20" unbalanced="0"/>
    <cacheHierarchy uniqueName="[Questions].[Column1]" caption="Column1" attribute="1" defaultMemberUniqueName="[Questions].[Column1].[All]" allUniqueName="[Questions].[Column1].[All]" dimensionUniqueName="[Questions]" displayFolder="" count="0" memberValueDatatype="130" unbalanced="0"/>
    <cacheHierarchy uniqueName="[Questions].[Column2]" caption="Column2" attribute="1" defaultMemberUniqueName="[Questions].[Column2].[All]" allUniqueName="[Questions].[Column2].[All]" dimensionUniqueName="[Questions]" displayFolder="" count="0" memberValueDatatype="130" unbalanced="0"/>
    <cacheHierarchy uniqueName="[Questions].[Column3]" caption="Column3" attribute="1" defaultMemberUniqueName="[Questions].[Column3].[All]" allUniqueName="[Questions].[Column3].[All]" dimensionUniqueName="[Questions]" displayFolder="" count="0" memberValueDatatype="130" unbalanced="0"/>
    <cacheHierarchy uniqueName="[Questions].[Column4]" caption="Column4" attribute="1" defaultMemberUniqueName="[Questions].[Column4].[All]" allUniqueName="[Questions].[Column4].[All]" dimensionUniqueName="[Questions]" displayFolder="" count="0" memberValueDatatype="130" unbalanced="0"/>
    <cacheHierarchy uniqueName="[Questions].[Column5]" caption="Column5" attribute="1" defaultMemberUniqueName="[Questions].[Column5].[All]" allUniqueName="[Questions].[Column5].[All]" dimensionUniqueName="[Questions]" displayFolder="" count="0" memberValueDatatype="130" unbalanced="0"/>
    <cacheHierarchy uniqueName="[Questions].[Column6]" caption="Column6" attribute="1" defaultMemberUniqueName="[Questions].[Column6].[All]" allUniqueName="[Questions].[Column6].[All]" dimensionUniqueName="[Questions]" displayFolder="" count="0" memberValueDatatype="130" unbalanced="0"/>
    <cacheHierarchy uniqueName="[Questions].[Column7]" caption="Column7" attribute="1" defaultMemberUniqueName="[Questions].[Column7].[All]" allUniqueName="[Questions].[Column7].[All]" dimensionUniqueName="[Questions]" displayFolder="" count="0" memberValueDatatype="130" unbalanced="0"/>
    <cacheHierarchy uniqueName="[Questions].[Column8]" caption="Column8" attribute="1" defaultMemberUniqueName="[Questions].[Column8].[All]" allUniqueName="[Questions].[Column8].[All]" dimensionUniqueName="[Questions]" displayFolder="" count="0" memberValueDatatype="130" unbalanced="0"/>
    <cacheHierarchy uniqueName="[Questions].[Column9]" caption="Column9" attribute="1" defaultMemberUniqueName="[Questions].[Column9].[All]" allUniqueName="[Questions].[Column9].[All]" dimensionUniqueName="[Questions]" displayFolder="" count="0" memberValueDatatype="130" unbalanced="0"/>
    <cacheHierarchy uniqueName="[Questions].[Column10]" caption="Column10" attribute="1" defaultMemberUniqueName="[Questions].[Column10].[All]" allUniqueName="[Questions].[Column10].[All]" dimensionUniqueName="[Questions]" displayFolder="" count="0" memberValueDatatype="20" unbalanced="0"/>
    <cacheHierarchy uniqueName="[Sales_Data].[Order_ID]" caption="Order_ID" attribute="1" defaultMemberUniqueName="[Sales_Data].[Order_ID].[All]" allUniqueName="[Sales_Data].[Order_ID].[All]" dimensionUniqueName="[Sales_Data]" displayFolder="" count="0" memberValueDatatype="20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Salesperson]" caption="Salesperson" attribute="1" defaultMemberUniqueName="[Sales_Data].[Salesperson].[All]" allUniqueName="[Sales_Data].[Salesperson].[All]" dimensionUniqueName="[Sales_Data]" displayFolder="" count="0" memberValueDatatype="130" unbalanced="0"/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Sales_Date]" caption="Sales_Date" attribute="1" time="1" defaultMemberUniqueName="[Sales_Data].[Sales_Date].[All]" allUniqueName="[Sales_Data].[Sales_Date].[All]" dimensionUniqueName="[Sales_Data]" displayFolder="" count="0" memberValueDatatype="7" unbalanced="0"/>
    <cacheHierarchy uniqueName="[Sales_Data1327].[Order_ID]" caption="Order_ID" attribute="1" defaultMemberUniqueName="[Sales_Data1327].[Order_ID].[All]" allUniqueName="[Sales_Data1327].[Order_ID].[All]" dimensionUniqueName="[Sales_Data1327]" displayFolder="" count="0" memberValueDatatype="20" unbalanced="0"/>
    <cacheHierarchy uniqueName="[Sales_Data1327].[Region]" caption="Region" attribute="1" defaultMemberUniqueName="[Sales_Data1327].[Region].[All]" allUniqueName="[Sales_Data1327].[Region].[All]" dimensionUniqueName="[Sales_Data1327]" displayFolder="" count="0" memberValueDatatype="130" unbalanced="0"/>
    <cacheHierarchy uniqueName="[Sales_Data1327].[Salesperson]" caption="Salesperson" attribute="1" defaultMemberUniqueName="[Sales_Data1327].[Salesperson].[All]" allUniqueName="[Sales_Data1327].[Salesperson].[All]" dimensionUniqueName="[Sales_Data1327]" displayFolder="" count="0" memberValueDatatype="130" unbalanced="0"/>
    <cacheHierarchy uniqueName="[Sales_Data1327].[Product]" caption="Product" attribute="1" defaultMemberUniqueName="[Sales_Data1327].[Product].[All]" allUniqueName="[Sales_Data1327].[Product].[All]" dimensionUniqueName="[Sales_Data1327]" displayFolder="" count="0" memberValueDatatype="130" unbalanced="0"/>
    <cacheHierarchy uniqueName="[Sales_Data1327].[Quantity]" caption="Quantity" attribute="1" defaultMemberUniqueName="[Sales_Data1327].[Quantity].[All]" allUniqueName="[Sales_Data1327].[Quantity].[All]" dimensionUniqueName="[Sales_Data1327]" displayFolder="" count="0" memberValueDatatype="20" unbalanced="0"/>
    <cacheHierarchy uniqueName="[Sales_Data1327].[Unit_Price]" caption="Unit_Price" attribute="1" defaultMemberUniqueName="[Sales_Data1327].[Unit_Price].[All]" allUniqueName="[Sales_Data1327].[Unit_Price].[All]" dimensionUniqueName="[Sales_Data1327]" displayFolder="" count="0" memberValueDatatype="20" unbalanced="0"/>
    <cacheHierarchy uniqueName="[Sales_Data1327].[Sales_Date]" caption="Sales_Date" attribute="1" time="1" defaultMemberUniqueName="[Sales_Data1327].[Sales_Date].[All]" allUniqueName="[Sales_Data1327].[Sales_Date].[All]" dimensionUniqueName="[Sales_Data1327]" displayFolder="" count="0" memberValueDatatype="7" unbalanced="0"/>
    <cacheHierarchy uniqueName="[Sales_Data1327].[Final Amt]" caption="Final Amt" attribute="1" defaultMemberUniqueName="[Sales_Data1327].[Final Amt].[All]" allUniqueName="[Sales_Data1327].[Final Amt].[All]" dimensionUniqueName="[Sales_Data1327]" displayFolder="" count="0" memberValueDatatype="20" unbalanced="0"/>
    <cacheHierarchy uniqueName="[Sales_Data1327].[Column1]" caption="Column1" attribute="1" defaultMemberUniqueName="[Sales_Data1327].[Column1].[All]" allUniqueName="[Sales_Data1327].[Column1].[All]" dimensionUniqueName="[Sales_Data1327]" displayFolder="" count="0" memberValueDatatype="130" unbalanced="0"/>
    <cacheHierarchy uniqueName="[Sales_Data8].[Order_ID]" caption="Order_ID" attribute="1" defaultMemberUniqueName="[Sales_Data8].[Order_ID].[All]" allUniqueName="[Sales_Data8].[Order_ID].[All]" dimensionUniqueName="[Sales_Data8]" displayFolder="" count="0" memberValueDatatype="20" unbalanced="0"/>
    <cacheHierarchy uniqueName="[Sales_Data8].[Region]" caption="Region" attribute="1" defaultMemberUniqueName="[Sales_Data8].[Region].[All]" allUniqueName="[Sales_Data8].[Region].[All]" dimensionUniqueName="[Sales_Data8]" displayFolder="" count="0" memberValueDatatype="130" unbalanced="0"/>
    <cacheHierarchy uniqueName="[Sales_Data8].[Salesperson]" caption="Salesperson" attribute="1" defaultMemberUniqueName="[Sales_Data8].[Salesperson].[All]" allUniqueName="[Sales_Data8].[Salesperson].[All]" dimensionUniqueName="[Sales_Data8]" displayFolder="" count="0" memberValueDatatype="130" unbalanced="0"/>
    <cacheHierarchy uniqueName="[Sales_Data8].[Product]" caption="Product" attribute="1" defaultMemberUniqueName="[Sales_Data8].[Product].[All]" allUniqueName="[Sales_Data8].[Product].[All]" dimensionUniqueName="[Sales_Data8]" displayFolder="" count="0" memberValueDatatype="130" unbalanced="0"/>
    <cacheHierarchy uniqueName="[Sales_Data8].[Quantity]" caption="Quantity" attribute="1" defaultMemberUniqueName="[Sales_Data8].[Quantity].[All]" allUniqueName="[Sales_Data8].[Quantity].[All]" dimensionUniqueName="[Sales_Data8]" displayFolder="" count="0" memberValueDatatype="20" unbalanced="0"/>
    <cacheHierarchy uniqueName="[Sales_Data8].[Unit_Price]" caption="Unit_Price" attribute="1" defaultMemberUniqueName="[Sales_Data8].[Unit_Price].[All]" allUniqueName="[Sales_Data8].[Unit_Price].[All]" dimensionUniqueName="[Sales_Data8]" displayFolder="" count="0" memberValueDatatype="20" unbalanced="0"/>
    <cacheHierarchy uniqueName="[Sales_Data8].[Sales_Date]" caption="Sales_Date" attribute="1" time="1" defaultMemberUniqueName="[Sales_Data8].[Sales_Date].[All]" allUniqueName="[Sales_Data8].[Sales_Date].[All]" dimensionUniqueName="[Sales_Data8]" displayFolder="" count="0" memberValueDatatype="7" unbalanced="0"/>
    <cacheHierarchy uniqueName="[Sales_Data8].[Total Sales]" caption="Total Sales" attribute="1" defaultMemberUniqueName="[Sales_Data8].[Total Sales].[All]" allUniqueName="[Sales_Data8].[Total Sales].[All]" dimensionUniqueName="[Sales_Data8]" displayFolder="" count="0" memberValueDatatype="20" unbalanced="0"/>
    <cacheHierarchy uniqueName="[Student_Marks31].[Student_ID]" caption="Student_ID" attribute="1" defaultMemberUniqueName="[Student_Marks31].[Student_ID].[All]" allUniqueName="[Student_Marks31].[Student_ID].[All]" dimensionUniqueName="[Student_Marks31]" displayFolder="" count="0" memberValueDatatype="20" unbalanced="0"/>
    <cacheHierarchy uniqueName="[Student_Marks31].[Name]" caption="Name" attribute="1" defaultMemberUniqueName="[Student_Marks31].[Name].[All]" allUniqueName="[Student_Marks31].[Name].[All]" dimensionUniqueName="[Student_Marks31]" displayFolder="" count="0" memberValueDatatype="130" unbalanced="0"/>
    <cacheHierarchy uniqueName="[Student_Marks31].[Maths]" caption="Maths" attribute="1" defaultMemberUniqueName="[Student_Marks31].[Maths].[All]" allUniqueName="[Student_Marks31].[Maths].[All]" dimensionUniqueName="[Student_Marks31]" displayFolder="" count="0" memberValueDatatype="20" unbalanced="0"/>
    <cacheHierarchy uniqueName="[Student_Marks31].[Statistics]" caption="Statistics" attribute="1" defaultMemberUniqueName="[Student_Marks31].[Statistics].[All]" allUniqueName="[Student_Marks31].[Statistics].[All]" dimensionUniqueName="[Student_Marks31]" displayFolder="" count="0" memberValueDatatype="20" unbalanced="0"/>
    <cacheHierarchy uniqueName="[Student_Marks31].[Excel]" caption="Excel" attribute="1" defaultMemberUniqueName="[Student_Marks31].[Excel].[All]" allUniqueName="[Student_Marks31].[Excel].[All]" dimensionUniqueName="[Student_Marks31]" displayFolder="" count="0" memberValueDatatype="20" unbalanced="0"/>
    <cacheHierarchy uniqueName="[Student_Marks31].[Attendance_%]" caption="Attendance_%" attribute="1" defaultMemberUniqueName="[Student_Marks31].[Attendance_%].[All]" allUniqueName="[Student_Marks31].[Attendance_%].[All]" dimensionUniqueName="[Student_Marks31]" displayFolder="" count="0" memberValueDatatype="20" unbalanced="0"/>
    <cacheHierarchy uniqueName="[Student_Marks31].[topper Aevrge]" caption="topper Aevrge" attribute="1" defaultMemberUniqueName="[Student_Marks31].[topper Aevrge].[All]" allUniqueName="[Student_Marks31].[topper Aevrge].[All]" dimensionUniqueName="[Student_Marks31]" displayFolder="" count="0" memberValueDatatype="5" unbalanced="0"/>
    <cacheHierarchy uniqueName="[Student_Marks31].[topper]" caption="topper" attribute="1" defaultMemberUniqueName="[Student_Marks31].[topper].[All]" allUniqueName="[Student_Marks31].[topper].[All]" dimensionUniqueName="[Student_Marks31]" displayFolder="" count="0" memberValueDatatype="130" unbalanced="0"/>
    <cacheHierarchy uniqueName="[Measures].[__XL_Count Instructions]" caption="__XL_Count Instructions" measure="1" displayFolder="" measureGroup="Instructions" count="0" hidden="1"/>
    <cacheHierarchy uniqueName="[Measures].[__XL_Count Product_Master]" caption="__XL_Count Product_Master" measure="1" displayFolder="" measureGroup="Product_Master" count="0" hidden="1"/>
    <cacheHierarchy uniqueName="[Measures].[__XL_Count Questions]" caption="__XL_Count Questions" measure="1" displayFolder="" measureGroup="Questions" count="0" hidden="1"/>
    <cacheHierarchy uniqueName="[Measures].[__XL_Count Sales_Data1327]" caption="__XL_Count Sales_Data1327" measure="1" displayFolder="" measureGroup="Sales_Data1327" count="0" hidden="1"/>
    <cacheHierarchy uniqueName="[Measures].[__XL_Count Sales_Data]" caption="__XL_Count Sales_Data" measure="1" displayFolder="" measureGroup="Sales_Data" count="0" hidden="1"/>
    <cacheHierarchy uniqueName="[Measures].[__XL_Count Sales_Data8]" caption="__XL_Count Sales_Data8" measure="1" displayFolder="" measureGroup="Sales_Data8" count="0" hidden="1"/>
    <cacheHierarchy uniqueName="[Measures].[__XL_Count Student_Marks31]" caption="__XL_Count Student_Marks31" measure="1" displayFolder="" measureGroup="Student_Marks31" count="0" hidden="1"/>
    <cacheHierarchy uniqueName="[Measures].[__No measures defined]" caption="__No measures defined" measure="1" displayFolder="" count="0" hidden="1"/>
    <cacheHierarchy uniqueName="[Measures].[Count of Column1]" caption="Count of Column1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Final Amt]" caption="Sum of Final Amt" measure="1" displayFolder="" measureGroup="Sales_Data1327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Total Sales]" caption="Sum of Total Sales" measure="1" displayFolder="" measureGroup="Sales_Data8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Excel]" caption="Sum of Excel" measure="1" displayFolder="" measureGroup="Student_Marks31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</cacheHierarchies>
  <kpis count="0"/>
  <dimensions count="8">
    <dimension name="Instructions" uniqueName="[Instructions]" caption="Instructions"/>
    <dimension measure="1" name="Measures" uniqueName="[Measures]" caption="Measures"/>
    <dimension name="Product_Master" uniqueName="[Product_Master]" caption="Product_Master"/>
    <dimension name="Questions" uniqueName="[Questions]" caption="Questions"/>
    <dimension name="Sales_Data" uniqueName="[Sales_Data]" caption="Sales_Data"/>
    <dimension name="Sales_Data1327" uniqueName="[Sales_Data1327]" caption="Sales_Data1327"/>
    <dimension name="Sales_Data8" uniqueName="[Sales_Data8]" caption="Sales_Data8"/>
    <dimension name="Student_Marks31" uniqueName="[Student_Marks31]" caption="Student_Marks31"/>
  </dimensions>
  <measureGroups count="7">
    <measureGroup name="Instructions" caption="Instructions"/>
    <measureGroup name="Product_Master" caption="Product_Master"/>
    <measureGroup name="Questions" caption="Questions"/>
    <measureGroup name="Sales_Data" caption="Sales_Data"/>
    <measureGroup name="Sales_Data1327" caption="Sales_Data1327"/>
    <measureGroup name="Sales_Data8" caption="Sales_Data8"/>
    <measureGroup name="Student_Marks31" caption="Student_Marks31"/>
  </measureGroups>
  <maps count="7">
    <map measureGroup="0" dimension="0"/>
    <map measureGroup="1" dimension="2"/>
    <map measureGroup="2" dimension="3"/>
    <map measureGroup="3" dimension="4"/>
    <map measureGroup="4" dimension="5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E2336-7919-4F95-836A-1F7F06088895}" name="PivotTable10" cacheId="16" applyNumberFormats="0" applyBorderFormats="0" applyFontFormats="0" applyPatternFormats="0" applyAlignmentFormats="0" applyWidthHeightFormats="1" dataCaption="Values" tag="63525b48-e90b-4081-8848-3ae9b3ae0a7c" updatedVersion="8" minRefreshableVersion="3" useAutoFormatting="1" itemPrintTitles="1" createdVersion="5" indent="0" outline="1" outlineData="1" multipleFieldFilters="0">
  <location ref="J9:K14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1" baseField="0" baseItem="0"/>
  </dataField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1327]"/>
        <x15:activeTabTopLevelEntity name="[Sales_Data]"/>
        <x15:activeTabTopLevelEntity name="[Sales_Data8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837FE-E87C-4A5E-B364-8C8D9343C3B9}" name="PivotTable9" cacheId="13" applyNumberFormats="0" applyBorderFormats="0" applyFontFormats="0" applyPatternFormats="0" applyAlignmentFormats="0" applyWidthHeightFormats="1" dataCaption="Values" tag="57146323-e12a-4a26-8078-6da7247ed57a" updatedVersion="8" minRefreshableVersion="3" useAutoFormatting="1" itemPrintTitles="1" createdVersion="5" indent="0" outline="1" outlineData="1" multipleFieldFilters="0" chartFormat="4">
  <location ref="B9:C13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Sale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1327]"/>
        <x15:activeTabTopLevelEntity name="[Sales_Data8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B10DC-229B-41F0-A9C7-5889378BD58C}" name="PivotTable12" cacheId="10" applyNumberFormats="0" applyBorderFormats="0" applyFontFormats="0" applyPatternFormats="0" applyAlignmentFormats="0" applyWidthHeightFormats="1" dataCaption="Values" tag="bccfe3b1-7785-46e2-a3c1-0cbed9c047fe" updatedVersion="8" minRefreshableVersion="3" useAutoFormatting="1" itemPrintTitles="1" createdVersion="5" indent="0" outline="1" outlineData="1" multipleFieldFilters="0" chartFormat="7">
  <location ref="B23:C29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cel" fld="0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_Data1327]"/>
        <x15:activeTabTopLevelEntity name="[Sales_Data8]"/>
        <x15:activeTabTopLevelEntity name="[Student_Marks3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2DE2B9B-C9AF-4AF8-81D8-69922339DE48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BE99A9-EC46-4BAC-AC22-15085A8C1D19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6B1A9BB-E9CC-48CA-A281-4855D00AFC5A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Category" tableColumnId="2"/>
      <queryTableField id="3" name="GST_%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BD468CA6-0DAB-4049-8DA0-C15B44B7A1DE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0" xr16:uid="{4C8720BF-19B4-48D5-B9C8-B84C4379E47A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1DCC0CFF-40A4-4FA6-9181-49FA5032CD81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E54F784F-BB95-4579-B0A1-920F67620D6C}" autoFormatId="16" applyNumberFormats="0" applyBorderFormats="0" applyFontFormats="0" applyPatternFormats="0" applyAlignmentFormats="0" applyWidthHeightFormats="0">
  <queryTableRefresh nextId="6" unboundColumnsRight="1">
    <queryTableFields count="4">
      <queryTableField id="1" name="Product" tableColumnId="1"/>
      <queryTableField id="2" name="Category" tableColumnId="2"/>
      <queryTableField id="3" name="GST_%" tableColumnId="3"/>
      <queryTableField id="5" dataBound="0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5" xr16:uid="{4096FAEC-55C1-49F6-8789-6EBE10C69FDB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6" xr16:uid="{B5CBCC4E-3C22-40A7-B860-0C387868483D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7" xr16:uid="{1AF12C99-D5ED-41DE-926A-8A034E4AE19A}" autoFormatId="16" applyNumberFormats="0" applyBorderFormats="0" applyFontFormats="0" applyPatternFormats="0" applyAlignmentFormats="0" applyWidthHeightFormats="0">
  <queryTableRefresh nextId="11" unboundColumnsRight="3">
    <queryTableFields count="10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8" xr16:uid="{36CF71B8-B2D8-45CE-9676-E7BB76C567FA}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  <queryTableField id="9" dataBound="0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29" xr16:uid="{942EECD8-2FC9-4CA6-83D5-380BCB4B23B0}" autoFormatId="16" applyNumberFormats="0" applyBorderFormats="0" applyFontFormats="0" applyPatternFormats="0" applyAlignmentFormats="0" applyWidthHeightFormats="0">
  <queryTableRefresh nextId="12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11" dataBound="0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7FDA1DDC-721C-424F-A3DF-4C6A0B3DC19A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9" dataBound="0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2" xr16:uid="{8C308FF0-72CE-4EDB-B938-6136F2EF61DC}" autoFormatId="16" applyNumberFormats="0" applyBorderFormats="0" applyFontFormats="0" applyPatternFormats="0" applyAlignmentFormats="0" applyWidthHeightFormats="0">
  <queryTableRefresh nextId="11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10" dataBound="0" tableColumnId="8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6" xr16:uid="{0C735F1A-50C1-4AF2-B14D-24ABA2F7FACF}" autoFormatId="16" applyNumberFormats="0" applyBorderFormats="0" applyFontFormats="0" applyPatternFormats="0" applyAlignmentFormats="0" applyWidthHeightFormats="0">
  <queryTableRefresh nextId="7" unboundColumnsRight="1">
    <queryTableFields count="4">
      <queryTableField id="1" name="Product" tableColumnId="1"/>
      <queryTableField id="2" name="Category" tableColumnId="2"/>
      <queryTableField id="3" name="GST_%" tableColumnId="3"/>
      <queryTableField id="5" dataBound="0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8" xr16:uid="{7C72BA17-8333-47EC-9511-1D1C3A7F20A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  <queryTableField id="7" dataBound="0" tableColumnId="7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39" xr16:uid="{A0DCBD26-6264-40FA-83C6-14A76E6F346E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  <queryTableField id="7" dataBound="0" tableColumnId="7"/>
      <queryTableField id="8" dataBound="0" tableColumnId="8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41" xr16:uid="{F117E6A1-11A3-43CE-A268-0555A8CBA3BD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  <queryTableField id="7" dataBound="0" tableColumnId="7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43" xr16:uid="{BAD867BA-D0EE-48A3-9416-FD0BC528EFA8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  <queryTableField id="7" dataBound="0" tableColumnId="7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45" xr16:uid="{77E67DFF-C44E-4DBD-92C8-F2BEDDEA5608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31" xr16:uid="{D631E706-E433-4BCE-8E94-1E3147905309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3" xr16:uid="{4B1288B6-7B53-47CB-9841-7C50EEE95155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  <queryTableField id="7" dataBound="0" tableColumnId="7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4" xr16:uid="{96A70257-577F-4118-88F2-05F04E632B3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16" xr16:uid="{5CCFEE3E-B208-406E-956C-4E281AA43B5B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17" xr16:uid="{4BABFE30-47B7-4106-BE21-F959180C5032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20" xr16:uid="{5E27DB9C-8206-48C9-BA33-4FFC706F2E59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  <queryTableField id="8" dataBound="0" tableColumnId="8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35" xr16:uid="{C2CCE838-BCD2-4568-A454-42A5312602DF}" autoFormatId="16" applyNumberFormats="0" applyBorderFormats="0" applyFontFormats="0" applyPatternFormats="0" applyAlignmentFormats="0" applyWidthHeightFormats="0">
  <queryTableRefresh nextId="7">
    <queryTableFields count="6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22" xr16:uid="{0A869EE3-C6DA-4F45-AEEE-87599C9EB584}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Region" tableColumnId="2"/>
      <queryTableField id="3" name="Salesperson" tableColumnId="3"/>
      <queryTableField id="4" name="Product" tableColumnId="4"/>
      <queryTableField id="5" name="Quantity" tableColumnId="5"/>
      <queryTableField id="6" name="Unit_Price" tableColumnId="6"/>
      <queryTableField id="7" name="Sales_Date" tableColumnId="7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37" xr16:uid="{FA7EEB0B-C291-4383-B9A8-8898FE1C001D}" autoFormatId="16" applyNumberFormats="0" applyBorderFormats="0" applyFontFormats="0" applyPatternFormats="0" applyAlignmentFormats="0" applyWidthHeightFormats="0">
  <queryTableRefresh nextId="8">
    <queryTableFields count="6">
      <queryTableField id="1" name="Student_ID" tableColumnId="1"/>
      <queryTableField id="2" name="Name" tableColumnId="2"/>
      <queryTableField id="3" name="Maths" tableColumnId="3"/>
      <queryTableField id="4" name="Statistics" tableColumnId="4"/>
      <queryTableField id="5" name="Excel" tableColumnId="5"/>
      <queryTableField id="6" name="Attendance_%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AFEF89-84A6-4C16-ACE9-B5190D5EBA27}" name="Questions" displayName="Questions" ref="A1:J33" tableType="queryTable" totalsRowShown="0">
  <autoFilter ref="A1:J33" xr:uid="{55AFEF89-84A6-4C16-ACE9-B5190D5EBA27}"/>
  <tableColumns count="10">
    <tableColumn id="1" xr3:uid="{B63988A9-8A65-4EF4-B672-1A26C53AD32D}" uniqueName="1" name="Column1" queryTableFieldId="1" dataDxfId="140"/>
    <tableColumn id="2" xr3:uid="{9B10AAC8-F088-4E9C-B68C-82D533BE117C}" uniqueName="2" name="Column2" queryTableFieldId="2"/>
    <tableColumn id="3" xr3:uid="{CFA1FD77-2D90-4F5E-9953-173E142DF597}" uniqueName="3" name="Column3" queryTableFieldId="3"/>
    <tableColumn id="4" xr3:uid="{9D80A417-1490-4BDC-B4A4-87656F5B4CA9}" uniqueName="4" name="Column4" queryTableFieldId="4"/>
    <tableColumn id="5" xr3:uid="{4723C761-E128-4366-B687-BAA8F0CEE765}" uniqueName="5" name="Column5" queryTableFieldId="5"/>
    <tableColumn id="6" xr3:uid="{5F3D3B8A-4AA3-4527-9892-7FED04B93C64}" uniqueName="6" name="Column6" queryTableFieldId="6"/>
    <tableColumn id="7" xr3:uid="{F91E25F8-9D81-4835-BE93-4B0BD01B641B}" uniqueName="7" name="Column7" queryTableFieldId="7"/>
    <tableColumn id="8" xr3:uid="{186D4CC6-06F9-4440-A1E9-84D377B7D2C0}" uniqueName="8" name="Column8" queryTableFieldId="8"/>
    <tableColumn id="9" xr3:uid="{BFCAD65E-4F43-4023-AB22-85FE64A7A86A}" uniqueName="9" name="Column9" queryTableFieldId="9"/>
    <tableColumn id="10" xr3:uid="{20BB458D-8201-40DD-9EF5-DB885C1027CE}" uniqueName="10" name="Column10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84D517-3F7F-4F47-92B5-428A69E57E82}" name="Instructions" displayName="Instructions" ref="A1:A6" tableType="queryTable" totalsRowShown="0">
  <autoFilter ref="A1:A6" xr:uid="{7B84D517-3F7F-4F47-92B5-428A69E57E82}"/>
  <tableColumns count="1">
    <tableColumn id="1" xr3:uid="{F070E37E-7DD0-45D1-8559-43C72AEDD812}" uniqueName="1" name="Column1" queryTableFieldId="1" dataDxfId="13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270B9C-3856-47C4-B03F-786E3D332890}" name="Product_Master" displayName="Product_Master" ref="A1:C4" tableType="queryTable" totalsRowShown="0">
  <autoFilter ref="A1:C4" xr:uid="{19270B9C-3856-47C4-B03F-786E3D332890}"/>
  <tableColumns count="3">
    <tableColumn id="1" xr3:uid="{F56BAB26-0227-4A42-AA7C-46FD38E3731F}" uniqueName="1" name="Product" queryTableFieldId="1" dataDxfId="138"/>
    <tableColumn id="2" xr3:uid="{E1743CE3-0607-44E3-8578-D7DA3CE1E5FD}" uniqueName="2" name="Category" queryTableFieldId="2" dataDxfId="137"/>
    <tableColumn id="3" xr3:uid="{F0287102-B2E9-4116-8ED1-7C14F41C0564}" uniqueName="3" name="GST_%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16C1E6-8AC2-48EE-B1A1-1756F0807CCE}" name="Sales_Data" displayName="Sales_Data" ref="A1:G7" tableType="queryTable" totalsRowShown="0">
  <autoFilter ref="A1:G7" xr:uid="{1F16C1E6-8AC2-48EE-B1A1-1756F0807CCE}"/>
  <tableColumns count="7">
    <tableColumn id="1" xr3:uid="{0A785967-8BEE-4141-858C-81BD8CABA5CD}" uniqueName="1" name="Order_ID" queryTableFieldId="1"/>
    <tableColumn id="2" xr3:uid="{7B9DB405-D97B-4BF3-81F4-AFC365657A80}" uniqueName="2" name="Region" queryTableFieldId="2" dataDxfId="136"/>
    <tableColumn id="3" xr3:uid="{14D749F0-9862-4685-991F-3532071D8230}" uniqueName="3" name="Salesperson" queryTableFieldId="3" dataDxfId="135"/>
    <tableColumn id="4" xr3:uid="{206DDC4C-B586-4C4F-97F4-D1AE378B463F}" uniqueName="4" name="Product" queryTableFieldId="4" dataDxfId="134"/>
    <tableColumn id="5" xr3:uid="{096FDE2A-4DA1-4F7C-8555-DECDA707D610}" uniqueName="5" name="Quantity" queryTableFieldId="5"/>
    <tableColumn id="6" xr3:uid="{974CCD66-849E-44C6-967C-A28535B969A6}" uniqueName="6" name="Unit_Price" queryTableFieldId="6"/>
    <tableColumn id="7" xr3:uid="{F7B8BA2D-E763-4F7D-BA8A-41E2DCD02F73}" uniqueName="7" name="Sales_Date" queryTableFieldId="7" dataDxfId="13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CC18E2-FF25-47B9-8B85-0EF73923773B}" name="Student_Marks" displayName="Student_Marks" ref="A1:F6" tableType="queryTable" totalsRowShown="0">
  <autoFilter ref="A1:F6" xr:uid="{3DCC18E2-FF25-47B9-8B85-0EF73923773B}"/>
  <tableColumns count="6">
    <tableColumn id="1" xr3:uid="{CD8B0596-381B-4DC4-BA09-38BD39E0B117}" uniqueName="1" name="Student_ID" queryTableFieldId="1"/>
    <tableColumn id="2" xr3:uid="{25238705-1D12-4DF4-9EF7-18B9D08C7835}" uniqueName="2" name="Name" queryTableFieldId="2" dataDxfId="132"/>
    <tableColumn id="3" xr3:uid="{5313E389-C402-4651-97F9-8982EBAFB04D}" uniqueName="3" name="Maths" queryTableFieldId="3"/>
    <tableColumn id="4" xr3:uid="{80D61ED6-A95C-4082-8A4F-E24DA5EEB31A}" uniqueName="4" name="Statistics" queryTableFieldId="4"/>
    <tableColumn id="5" xr3:uid="{28295A9E-3BE5-4E9C-A42A-830D09250A50}" uniqueName="5" name="Excel" queryTableFieldId="5"/>
    <tableColumn id="6" xr3:uid="{32DC1CB2-11AC-4CFF-91A1-DB4B1B9B6BBE}" uniqueName="6" name="Attendance_%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BB6BB6-E62E-4753-8C5E-B4C682CB7AD8}" name="Sales_Data8" displayName="Sales_Data8" ref="A3:H10" tableType="queryTable" totalsRowCount="1">
  <autoFilter ref="A3:H9" xr:uid="{7EBB6BB6-E62E-4753-8C5E-B4C682CB7AD8}"/>
  <tableColumns count="8">
    <tableColumn id="1" xr3:uid="{DAE54BAD-85CF-4283-BB1B-7193E7FD4000}" uniqueName="1" name="Order_ID" queryTableFieldId="1"/>
    <tableColumn id="2" xr3:uid="{A7157F53-865B-4AB7-9B01-AAEBAA57C3DA}" uniqueName="2" name="Region" queryTableFieldId="2" dataDxfId="129" totalsRowDxfId="128"/>
    <tableColumn id="3" xr3:uid="{F0BE4243-6928-4009-965E-B3064A9BE9A6}" uniqueName="3" name="Salesperson" queryTableFieldId="3" dataDxfId="127" totalsRowDxfId="126"/>
    <tableColumn id="4" xr3:uid="{A00F4DCA-2B2B-43C5-AC95-00BA13092E38}" uniqueName="4" name="Product" queryTableFieldId="4" dataDxfId="125" totalsRowDxfId="124"/>
    <tableColumn id="5" xr3:uid="{7B302F91-3190-4BD1-84A5-73D353FFFDE3}" uniqueName="5" name="Quantity" queryTableFieldId="5"/>
    <tableColumn id="6" xr3:uid="{42C6A151-85DE-4EB7-AF5E-149B08F85809}" uniqueName="6" name="Unit_Price" queryTableFieldId="6"/>
    <tableColumn id="7" xr3:uid="{6C28B29A-0D2D-46C5-A0A6-051E9A04AB55}" uniqueName="7" name="Sales_Date" queryTableFieldId="7" dataDxfId="123" totalsRowDxfId="122"/>
    <tableColumn id="8" xr3:uid="{80B1B8D3-8AC7-4B3D-951F-DB8EAB5FB4E0}" uniqueName="8" name="Total Sales" totalsRowFunction="custom" queryTableFieldId="8" dataDxfId="121" totalsRowDxfId="120">
      <calculatedColumnFormula>(E4*F4)</calculatedColumnFormula>
      <totalsRowFormula>SUM(Sales_Data8[Total Sales])</totalsRow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AA17AE-7DD4-4869-9307-7EB4A8C70F3C}" name="Product_Master10" displayName="Product_Master10" ref="A14:D17" tableType="queryTable" totalsRowShown="0" headerRowDxfId="119" headerRowBorderDxfId="118" tableBorderDxfId="117" totalsRowBorderDxfId="116">
  <autoFilter ref="A14:D17" xr:uid="{94AA17AE-7DD4-4869-9307-7EB4A8C70F3C}"/>
  <tableColumns count="4">
    <tableColumn id="1" xr3:uid="{98E6F4BA-2B25-4864-BB74-9EDDF292F897}" uniqueName="1" name="Product" queryTableFieldId="1" dataDxfId="115"/>
    <tableColumn id="2" xr3:uid="{D8FF775C-1CAA-4B99-946F-239D954C00F7}" uniqueName="2" name="Category" queryTableFieldId="2" dataDxfId="114"/>
    <tableColumn id="3" xr3:uid="{44DC160D-2171-496E-9E4F-437423395627}" uniqueName="3" name="GST_%" queryTableFieldId="3" dataDxfId="113"/>
    <tableColumn id="4" xr3:uid="{C1B554F5-ECD4-4000-966D-142DE1AA8665}" uniqueName="4" name="GST AMT" queryTableFieldId="5" dataDxfId="112">
      <calculatedColumnFormula>H4*VLOOKUP(D4,A15:C17,3,FALSE)/100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372392-CE33-4EB6-8D87-222FE981F9E6}" name="Sales_Data13" displayName="Sales_Data13" ref="A22:H28" tableType="queryTable" totalsRowShown="0" headerRowDxfId="111">
  <autoFilter ref="A22:H28" xr:uid="{29372392-CE33-4EB6-8D87-222FE981F9E6}"/>
  <tableColumns count="8">
    <tableColumn id="1" xr3:uid="{B1CCEA09-363F-4FA3-8D1D-76E4969AA6DE}" uniqueName="1" name="Order_ID" queryTableFieldId="1" dataDxfId="110"/>
    <tableColumn id="2" xr3:uid="{E203394D-492E-45D6-89F2-73FCB51D6B7E}" uniqueName="2" name="Region" queryTableFieldId="2" dataDxfId="109"/>
    <tableColumn id="3" xr3:uid="{E446A130-AE59-495B-A57B-7F116805FDD7}" uniqueName="3" name="Salesperson" queryTableFieldId="3" dataDxfId="108"/>
    <tableColumn id="4" xr3:uid="{AA587060-5E70-4A77-8851-88E3F5AB2EF8}" uniqueName="4" name="Product" queryTableFieldId="4" dataDxfId="107"/>
    <tableColumn id="5" xr3:uid="{77AB75F8-66A7-4832-9449-2B95DB71C757}" uniqueName="5" name="Quantity" queryTableFieldId="5" dataDxfId="106"/>
    <tableColumn id="6" xr3:uid="{CB5072D0-8D9D-4C45-BAFB-0F0FAE4F39DF}" uniqueName="6" name="Unit_Price" queryTableFieldId="6" dataDxfId="105"/>
    <tableColumn id="7" xr3:uid="{4AECAA29-0C89-49E2-B97B-3EFDFE6AFFD1}" uniqueName="7" name="Sales_Date" queryTableFieldId="7" dataDxfId="104"/>
    <tableColumn id="8" xr3:uid="{E7354E32-6DA4-4622-B525-5BAC0C953145}" uniqueName="8" name="Final Amt" queryTableFieldId="8" dataDxfId="103">
      <calculatedColumnFormula>H4+D15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522A336-C6CB-4F63-8B99-F93382B7FB22}" name="Sales_Data14" displayName="Sales_Data14" ref="A38:G44" tableType="queryTable" totalsRowShown="0" headerRowDxfId="102" headerRowBorderDxfId="101" tableBorderDxfId="100" totalsRowBorderDxfId="99">
  <autoFilter ref="A38:G44" xr:uid="{B522A336-C6CB-4F63-8B99-F93382B7FB22}"/>
  <tableColumns count="7">
    <tableColumn id="1" xr3:uid="{3A8039EE-924B-4E8A-9C30-263B770EDD86}" uniqueName="1" name="Order_ID" queryTableFieldId="1" dataDxfId="98"/>
    <tableColumn id="2" xr3:uid="{9BCA5698-50A8-4782-9D60-06895D4BFE42}" uniqueName="2" name="Region" queryTableFieldId="2" dataDxfId="97"/>
    <tableColumn id="3" xr3:uid="{8E91C1DE-77C0-4DEB-8E15-5DC5D60D125C}" uniqueName="3" name="Salesperson" queryTableFieldId="3" dataDxfId="96"/>
    <tableColumn id="4" xr3:uid="{C4CA537D-A62B-40B2-9975-5814A0296E46}" uniqueName="4" name="Product" queryTableFieldId="4" dataDxfId="95"/>
    <tableColumn id="5" xr3:uid="{8200A0BA-38E0-40A2-BAFF-98B60D9EB558}" uniqueName="5" name="Quantity" queryTableFieldId="5" dataDxfId="94"/>
    <tableColumn id="6" xr3:uid="{6E5FDE88-AE0D-40B5-A7DF-C6E1BEFB9FDF}" uniqueName="6" name="Unit_Price" queryTableFieldId="6" dataDxfId="93"/>
    <tableColumn id="7" xr3:uid="{D762D361-5853-4A25-8DD3-0E1F5F5BF10E}" uniqueName="7" name="Sales_Date" queryTableFieldId="7" dataDxfId="92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8101E45-3840-4D37-B7C9-78071A76DA92}" name="Sales_Data15" displayName="Sales_Data15" ref="A49:J55" tableType="queryTable" totalsRowShown="0" headerRowDxfId="91" headerRowBorderDxfId="90" tableBorderDxfId="89" totalsRowBorderDxfId="88">
  <autoFilter ref="A49:J55" xr:uid="{D8101E45-3840-4D37-B7C9-78071A76DA92}"/>
  <tableColumns count="10">
    <tableColumn id="1" xr3:uid="{8AFB2ABB-EE72-40CB-8631-2F77FE231292}" uniqueName="1" name="Order_ID" queryTableFieldId="1" dataDxfId="87"/>
    <tableColumn id="2" xr3:uid="{3BB8F7EC-1D2A-44A9-A4AB-D8E7E4F05E0E}" uniqueName="2" name="Region" queryTableFieldId="2" dataDxfId="86"/>
    <tableColumn id="3" xr3:uid="{5DB626BA-3E58-45AE-8567-7D244040E889}" uniqueName="3" name="Salesperson" queryTableFieldId="3" dataDxfId="85"/>
    <tableColumn id="4" xr3:uid="{93B35BC7-E6E9-4E6B-8AF8-518452CE4848}" uniqueName="4" name="Product" queryTableFieldId="4" dataDxfId="84"/>
    <tableColumn id="5" xr3:uid="{5B079D10-09BD-47BE-8D7E-8D0712D91F38}" uniqueName="5" name="Quantity" queryTableFieldId="5" dataDxfId="83"/>
    <tableColumn id="6" xr3:uid="{048C4E4E-1FA4-40FF-834C-72B91427A424}" uniqueName="6" name="Unit_Price" queryTableFieldId="6" dataDxfId="82"/>
    <tableColumn id="7" xr3:uid="{8967983F-2CC1-4BD0-8FB9-E7BE23FB184A}" uniqueName="7" name="Sales_Date" queryTableFieldId="7" dataDxfId="81"/>
    <tableColumn id="8" xr3:uid="{C5137FE2-FF1B-400E-9476-E00E573218E3}" uniqueName="8" name="Total Sales" queryTableFieldId="8" dataDxfId="80"/>
    <tableColumn id="9" xr3:uid="{674D8BC2-FBFB-49BB-8011-92E7274C4F09}" uniqueName="9" name="Region2" queryTableFieldId="9" dataDxfId="79"/>
    <tableColumn id="10" xr3:uid="{A1E361EC-64EC-48C7-BD38-22B98F2022E5}" uniqueName="10" name="total sales2" queryTableFieldId="10" dataDxfId="78">
      <calculatedColumnFormula>SUMIF(B50:B55,I50,H50:H55)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141248-1371-4A44-B723-782524547F82}" name="Sales_Data16" displayName="Sales_Data16" ref="A61:I67" tableType="queryTable" totalsRowShown="0">
  <autoFilter ref="A61:I67" xr:uid="{30141248-1371-4A44-B723-782524547F82}"/>
  <tableColumns count="9">
    <tableColumn id="1" xr3:uid="{5FC5EC2A-D98C-43D2-9464-E22128D8CC03}" uniqueName="1" name="Order_ID" queryTableFieldId="1"/>
    <tableColumn id="2" xr3:uid="{EC3FB193-F033-48A0-8BBE-7DD1F04FCEC4}" uniqueName="2" name="Region" queryTableFieldId="2" dataDxfId="77"/>
    <tableColumn id="3" xr3:uid="{B384000D-6629-4684-B810-77634BD46B3C}" uniqueName="3" name="Salesperson" queryTableFieldId="3" dataDxfId="76"/>
    <tableColumn id="4" xr3:uid="{0BD18654-9023-4967-B39B-79C658B1026B}" uniqueName="4" name="Product" queryTableFieldId="4" dataDxfId="75"/>
    <tableColumn id="5" xr3:uid="{36E5F588-DE72-48A5-A8A7-8ED551F239CD}" uniqueName="5" name="Quantity" queryTableFieldId="5"/>
    <tableColumn id="6" xr3:uid="{EBA76A9A-5CFE-4111-A99E-87482E8D9211}" uniqueName="6" name="Unit_Price" queryTableFieldId="6"/>
    <tableColumn id="7" xr3:uid="{158F462B-807B-4A27-B7B7-20532A0737B1}" uniqueName="7" name="Sales_Date" queryTableFieldId="7" dataDxfId="74"/>
    <tableColumn id="8" xr3:uid="{FE541D58-5F64-4480-943C-5A306A7F38EA}" uniqueName="8" name="Quntity" queryTableFieldId="8" dataDxfId="73">
      <calculatedColumnFormula>IF(E62&gt;=3,"High","Low")</calculatedColumnFormula>
    </tableColumn>
    <tableColumn id="9" xr3:uid="{9585E605-0033-4A77-BFD8-4B36856EB665}" uniqueName="9" name="High &amp; Low" queryTableFieldId="9" dataDxfId="72">
      <calculatedColumnFormula array="1">_xlfn.IFS(E62&gt;3,"high",E62&lt;=3,"Low")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2FA0428-2269-4881-A86B-52C4D00FBD07}" name="Sales_Data20" displayName="Sales_Data20" ref="A72:H78" tableType="queryTable" totalsRowShown="0">
  <autoFilter ref="A72:H78" xr:uid="{F2FA0428-2269-4881-A86B-52C4D00FBD07}"/>
  <tableColumns count="8">
    <tableColumn id="1" xr3:uid="{A6DEE451-D543-4D00-8504-414C741054B1}" uniqueName="1" name="Order_ID" queryTableFieldId="1"/>
    <tableColumn id="2" xr3:uid="{1716D831-02AD-4DE1-8632-A1A582D5633D}" uniqueName="2" name="Region" queryTableFieldId="2" dataDxfId="71"/>
    <tableColumn id="3" xr3:uid="{0CC807DC-8FD5-4471-8D6E-DB45A61AA472}" uniqueName="3" name="Salesperson" queryTableFieldId="3" dataDxfId="70"/>
    <tableColumn id="4" xr3:uid="{A4771269-7A23-45B9-9A91-5F63AF4FD916}" uniqueName="4" name="Product" queryTableFieldId="4" dataDxfId="69"/>
    <tableColumn id="5" xr3:uid="{FAD4B7BB-F6D1-4EBE-ADF7-7C293B5C7521}" uniqueName="5" name="Quantity" queryTableFieldId="5"/>
    <tableColumn id="6" xr3:uid="{D9AA5D3D-9B98-43C0-9552-09A05D110974}" uniqueName="6" name="Unit_Price" queryTableFieldId="6"/>
    <tableColumn id="7" xr3:uid="{DA9BE802-E9B7-46B7-AA8B-002D35FB5ED7}" uniqueName="7" name="Sales_Date" queryTableFieldId="7" dataDxfId="68"/>
    <tableColumn id="8" xr3:uid="{8A49EE31-8DB8-410F-958D-C7E1BE8B5AF7}" uniqueName="8" name="Final Amt" queryTableFieldId="11" dataDxfId="67">
      <calculatedColumnFormula>H4+D15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27202D1-39F4-462F-994F-8C9B6DC773A0}" name="Sales_Data23" displayName="Sales_Data23" ref="A83:H89" tableType="queryTable" totalsRowShown="0">
  <autoFilter ref="A83:H89" xr:uid="{A27202D1-39F4-462F-994F-8C9B6DC773A0}"/>
  <tableColumns count="8">
    <tableColumn id="1" xr3:uid="{0869BA14-2183-4246-8955-D72E9CD6EDE9}" uniqueName="1" name="Order_ID" queryTableFieldId="1"/>
    <tableColumn id="2" xr3:uid="{ADD69FEC-1FD4-4A42-9E93-DE55A9F47429}" uniqueName="2" name="Region" queryTableFieldId="2" dataDxfId="66"/>
    <tableColumn id="3" xr3:uid="{EB0A3DF6-3C98-4F34-ADD3-69665672EAF4}" uniqueName="3" name="Salesperson" queryTableFieldId="3" dataDxfId="65"/>
    <tableColumn id="4" xr3:uid="{C43E43C1-A6DF-4836-B772-E7C34B1E49F6}" uniqueName="4" name="Product" queryTableFieldId="4" dataDxfId="64"/>
    <tableColumn id="5" xr3:uid="{EAC55E84-685A-4E7F-8B72-ADE906F7A444}" uniqueName="5" name="Quantity" queryTableFieldId="5"/>
    <tableColumn id="6" xr3:uid="{8B56481B-DB37-44EF-8B1F-092182940B53}" uniqueName="6" name="Unit_Price" queryTableFieldId="6"/>
    <tableColumn id="7" xr3:uid="{2FCE454E-6D6C-4640-B8F5-8E6030696BFB}" uniqueName="7" name="Sales_Date" queryTableFieldId="7" dataDxfId="63"/>
    <tableColumn id="8" xr3:uid="{E6E54F0E-12CB-4038-B515-00106772443F}" uniqueName="8" name="Extract" queryTableFieldId="9" dataDxfId="62">
      <calculatedColumnFormula>TEXT(G84,"mmmm")</calculatedColumnFormula>
    </tableColumn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D55FA08-95C1-4EFD-892B-61CC861B77D0}" name="Sales_Data1327" displayName="Sales_Data1327" ref="A97:H103" tableType="queryTable" totalsRowShown="0" headerRowDxfId="61" headerRowBorderDxfId="60" tableBorderDxfId="59" totalsRowBorderDxfId="58">
  <autoFilter ref="A97:H103" xr:uid="{4D55FA08-95C1-4EFD-892B-61CC861B77D0}"/>
  <sortState xmlns:xlrd2="http://schemas.microsoft.com/office/spreadsheetml/2017/richdata2" ref="A98:H103">
    <sortCondition descending="1" ref="H98:H103"/>
  </sortState>
  <tableColumns count="8">
    <tableColumn id="1" xr3:uid="{DD7CD3AF-80B3-4CEB-B887-E66BF85FF117}" uniqueName="1" name="Order_ID" queryTableFieldId="1" dataDxfId="57"/>
    <tableColumn id="2" xr3:uid="{5ED44C9F-D005-4C83-98F8-49716C160529}" uniqueName="2" name="Region" queryTableFieldId="2" dataDxfId="56"/>
    <tableColumn id="3" xr3:uid="{6DE0BCF0-6F69-4C36-8BB9-DDED3E004917}" uniqueName="3" name="Salesperson" queryTableFieldId="3" dataDxfId="55"/>
    <tableColumn id="4" xr3:uid="{DC7A7925-315D-4598-980F-8E19AA496EA2}" uniqueName="4" name="Product" queryTableFieldId="4" dataDxfId="54"/>
    <tableColumn id="5" xr3:uid="{7A1DD1DF-F9B9-4F7B-A0AF-13111B684C5B}" uniqueName="5" name="Quantity" queryTableFieldId="5" dataDxfId="53"/>
    <tableColumn id="6" xr3:uid="{5A2506F0-E9F4-447C-AF20-697C45D9B7B9}" uniqueName="6" name="Unit_Price" queryTableFieldId="6" dataDxfId="52"/>
    <tableColumn id="7" xr3:uid="{0A54B168-5B25-4717-B1AB-8462E3488DDE}" uniqueName="7" name="Sales_Date" queryTableFieldId="7" dataDxfId="51"/>
    <tableColumn id="8" xr3:uid="{D244C5C6-CE91-493A-9C00-E90A6DB6AD1A}" uniqueName="8" name="Final Amt" queryTableFieldId="10" dataDxfId="5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0CB7EA4-6E1E-41FC-9E68-CDD7A20534C9}" name="Product_Master28" displayName="Product_Master28" ref="A109:D112" tableType="queryTable" totalsRowShown="0">
  <autoFilter ref="A109:D112" xr:uid="{B0CB7EA4-6E1E-41FC-9E68-CDD7A20534C9}"/>
  <tableColumns count="4">
    <tableColumn id="1" xr3:uid="{D6BD6728-519F-4E44-A35D-F2CB13F880EB}" uniqueName="1" name="Product" queryTableFieldId="1" dataDxfId="49"/>
    <tableColumn id="2" xr3:uid="{4C56DD35-003C-4D5C-8BA1-9206FAADBCB9}" uniqueName="2" name="Category" queryTableFieldId="2" dataDxfId="48"/>
    <tableColumn id="3" xr3:uid="{08CC1DCB-CD8E-47C2-AAE8-354A13CA74EC}" uniqueName="3" name="GST_%" queryTableFieldId="3"/>
    <tableColumn id="4" xr3:uid="{F94C2F3C-64A2-467C-9BE3-C8BAB6097C79}" uniqueName="4" name="Fetch" queryTableFieldId="5" dataDxfId="47">
      <calculatedColumnFormula>INDEX($B$110:$B$112,MATCH(A110,$A$110:$A$112,0))</calculatedColumnFormula>
    </tableColumn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2460C2A-5F3E-4625-80C3-042796295A91}" name="Student_Marks30" displayName="Student_Marks30" ref="A118:G123" tableType="queryTable" totalsRowShown="0">
  <autoFilter ref="A118:G123" xr:uid="{32460C2A-5F3E-4625-80C3-042796295A91}"/>
  <tableColumns count="7">
    <tableColumn id="1" xr3:uid="{1A557731-1748-40F1-B4E8-3294CB9F8834}" uniqueName="1" name="Student_ID" queryTableFieldId="1"/>
    <tableColumn id="2" xr3:uid="{B9848CCB-D26C-4328-8C59-CECC576B79FB}" uniqueName="2" name="Name" queryTableFieldId="2" dataDxfId="46"/>
    <tableColumn id="3" xr3:uid="{309ABA47-8CA2-4390-A404-4DE79782CDB8}" uniqueName="3" name="Maths" queryTableFieldId="3"/>
    <tableColumn id="4" xr3:uid="{0CA621CE-8B58-42D1-A6D0-96C054955672}" uniqueName="4" name="Statistics" queryTableFieldId="4"/>
    <tableColumn id="5" xr3:uid="{07E3DFB0-EFD9-4583-8C89-B8C5D3ADAC18}" uniqueName="5" name="Excel" queryTableFieldId="5"/>
    <tableColumn id="6" xr3:uid="{85C4F2BA-F9DE-4295-A2E6-F83E6651C16B}" uniqueName="6" name="Attendance_%" queryTableFieldId="6"/>
    <tableColumn id="7" xr3:uid="{976D37F2-D475-44C4-96FA-33903267F4B3}" uniqueName="7" name="Average" queryTableFieldId="7" dataDxfId="45">
      <calculatedColumnFormula>AVERAGE(Student_Marks30[[#This Row],[Maths]:[Attendance_%]])</calculatedColumnFormula>
    </tableColumn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F4F8B0E-DE8E-430D-B0E8-CE3607716B98}" name="Student_Marks31" displayName="Student_Marks31" ref="A129:H134" tableType="queryTable" totalsRowShown="0">
  <autoFilter ref="A129:H134" xr:uid="{5F4F8B0E-DE8E-430D-B0E8-CE3607716B98}"/>
  <tableColumns count="8">
    <tableColumn id="1" xr3:uid="{ACF38B62-72A1-449E-8E4C-E30CAADC2325}" uniqueName="1" name="Student_ID" queryTableFieldId="1"/>
    <tableColumn id="2" xr3:uid="{8E32CB5E-4643-4C88-AED0-415A006E9020}" uniqueName="2" name="Name" queryTableFieldId="2" dataDxfId="44"/>
    <tableColumn id="3" xr3:uid="{DF9A01AA-34F8-46D5-AF43-A887D19F3218}" uniqueName="3" name="Maths" queryTableFieldId="3"/>
    <tableColumn id="4" xr3:uid="{BE0A5070-1288-462C-B1B2-3F65CF9355DA}" uniqueName="4" name="Statistics" queryTableFieldId="4"/>
    <tableColumn id="5" xr3:uid="{61C9540E-34CF-464E-83B6-176AF9CDD8FF}" uniqueName="5" name="Excel" queryTableFieldId="5"/>
    <tableColumn id="6" xr3:uid="{834C0C10-2A74-47C3-9860-A4AEA26C8BCA}" uniqueName="6" name="Attendance_%" queryTableFieldId="6"/>
    <tableColumn id="7" xr3:uid="{52175592-8DF7-41E0-90F6-03C06E65D940}" uniqueName="7" name="topper Aevrge" queryTableFieldId="7" dataDxfId="43">
      <calculatedColumnFormula>AVERAGE(Student_Marks31[[#This Row],[Maths]:[Attendance_%]])</calculatedColumnFormula>
    </tableColumn>
    <tableColumn id="8" xr3:uid="{4D33A56D-2142-4DC0-8375-4088B0D2FD53}" uniqueName="8" name="topper" queryTableFieldId="8" dataDxfId="42">
      <calculatedColumnFormula>INDEX(B130:B134,MATCH(MAX(G130:G134),G130:G134,0))</calculatedColumnFormula>
    </tableColumn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05100B8-BB3C-466B-94A8-F36F08FA14C1}" name="Student_Marks33" displayName="Student_Marks33" ref="A141:G146" tableType="queryTable" totalsRowShown="0">
  <autoFilter ref="A141:G146" xr:uid="{605100B8-BB3C-466B-94A8-F36F08FA14C1}"/>
  <tableColumns count="7">
    <tableColumn id="1" xr3:uid="{DBC34CEF-3D42-48C3-BE1F-3EF994739BBD}" uniqueName="1" name="Student_ID" queryTableFieldId="1"/>
    <tableColumn id="2" xr3:uid="{ACDF995B-C39B-4EB4-9BCF-98EEF8F4663D}" uniqueName="2" name="Name" queryTableFieldId="2" dataDxfId="41"/>
    <tableColumn id="3" xr3:uid="{A296E6A0-78ED-42E0-9568-CDC829FBA743}" uniqueName="3" name="Maths" queryTableFieldId="3"/>
    <tableColumn id="4" xr3:uid="{86CC6277-DB86-4E52-85E9-697ABFE23C11}" uniqueName="4" name="Statistics" queryTableFieldId="4"/>
    <tableColumn id="5" xr3:uid="{1D8CAF7C-7930-45BC-9807-44C7EAA8812F}" uniqueName="5" name="Excel" queryTableFieldId="5"/>
    <tableColumn id="6" xr3:uid="{FD4E2BFE-A166-4AE2-B34E-1A0DB22A5BFC}" uniqueName="6" name="Attendance_%" queryTableFieldId="6"/>
    <tableColumn id="7" xr3:uid="{23FBC913-1399-4D07-BFB0-879B5C1EC791}" uniqueName="7" name="attebdance 90 Above" queryTableFieldId="7" dataDxfId="40">
      <calculatedColumnFormula>COUNTIF(F142:F146,"&gt;90")</calculatedColumnFormula>
    </tableColumn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BF557AB-BF74-4827-80D9-BF43B10F7BCC}" name="Student_Marks35" displayName="Student_Marks35" ref="A153:G158" tableType="queryTable" totalsRowShown="0">
  <autoFilter ref="A153:G158" xr:uid="{3BF557AB-BF74-4827-80D9-BF43B10F7BCC}"/>
  <tableColumns count="7">
    <tableColumn id="1" xr3:uid="{E0E99008-197B-41CE-A5FD-8B36587010FB}" uniqueName="1" name="Student_ID" queryTableFieldId="1"/>
    <tableColumn id="2" xr3:uid="{CD79B099-ADE1-4F7D-AAB2-22DFBEBC04F2}" uniqueName="2" name="Name" queryTableFieldId="2" dataDxfId="39"/>
    <tableColumn id="3" xr3:uid="{733BB2D3-3E9E-4C66-B435-AA352FF56021}" uniqueName="3" name="Maths" queryTableFieldId="3"/>
    <tableColumn id="4" xr3:uid="{398E8636-EFF7-494D-8FD8-7BAE4FBD9970}" uniqueName="4" name="Statistics" queryTableFieldId="4"/>
    <tableColumn id="5" xr3:uid="{97FA1781-56FD-405E-BA8E-1D9D2709A718}" uniqueName="5" name="Excel" queryTableFieldId="5"/>
    <tableColumn id="6" xr3:uid="{8D523DD8-A8CD-48A0-9494-069403E7E11A}" uniqueName="6" name="Attendance_%" queryTableFieldId="6"/>
    <tableColumn id="7" xr3:uid="{1D781015-FDC4-4D90-A352-E0A09F8D2857}" uniqueName="7" name="eligible" queryTableFieldId="7" dataDxfId="38">
      <calculatedColumnFormula>IF(F154&gt;=85,"Eligible","not Eligible")</calculatedColumnFormula>
    </tableColumn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FC0E5DF8-5168-45EE-A4B9-CED0B7580647}" name="Student_Marks38" displayName="Student_Marks38" ref="A213:F218" tableType="queryTable" totalsRowShown="0">
  <autoFilter ref="A213:F218" xr:uid="{FC0E5DF8-5168-45EE-A4B9-CED0B7580647}"/>
  <tableColumns count="6">
    <tableColumn id="1" xr3:uid="{2A2654BE-4FD5-49AA-A0A7-1874C029DADB}" uniqueName="1" name="Student_ID" queryTableFieldId="1"/>
    <tableColumn id="2" xr3:uid="{815CCE08-2F39-49AD-A319-78613336A7F8}" uniqueName="2" name="Name" queryTableFieldId="2" dataDxfId="37"/>
    <tableColumn id="3" xr3:uid="{18713A37-7E6C-4E09-951B-0FDE7F9F9007}" uniqueName="3" name="Maths" queryTableFieldId="3"/>
    <tableColumn id="4" xr3:uid="{0B68A3D3-9DD2-42AA-BE40-EE32727CBD85}" uniqueName="4" name="Statistics" queryTableFieldId="4"/>
    <tableColumn id="5" xr3:uid="{C43EE71D-E0B5-4453-A4D1-770CDFDB5742}" uniqueName="5" name="Excel" queryTableFieldId="5"/>
    <tableColumn id="6" xr3:uid="{96C7D084-1D43-437E-90DB-42165877FF05}" uniqueName="6" name="Attendance_%" queryTableFieldId="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EC9B3D0-6453-4D33-9D79-E47590BFCAD7}" name="Student_Marks40" displayName="Student_Marks40" ref="A225:F230" tableType="queryTable" totalsRowShown="0">
  <autoFilter ref="A225:F230" xr:uid="{FEC9B3D0-6453-4D33-9D79-E47590BFCAD7}"/>
  <tableColumns count="6">
    <tableColumn id="1" xr3:uid="{A6F430E2-EDA8-4F28-A4FD-BAF439190BE3}" uniqueName="1" name="Student_ID" queryTableFieldId="1"/>
    <tableColumn id="2" xr3:uid="{72FFED1C-A137-4343-B870-07DF59E81F62}" uniqueName="2" name="Name" queryTableFieldId="2" dataDxfId="36"/>
    <tableColumn id="3" xr3:uid="{EC7FB45C-272F-44C9-A408-6BEEAA491AE7}" uniqueName="3" name="Maths" queryTableFieldId="3"/>
    <tableColumn id="4" xr3:uid="{832158F4-ACB7-4921-9716-7641A9B4D03E}" uniqueName="4" name="Statistics" queryTableFieldId="4"/>
    <tableColumn id="5" xr3:uid="{D622ADE8-709F-4C50-A44E-F426B1CD731F}" uniqueName="5" name="Excel" queryTableFieldId="5"/>
    <tableColumn id="6" xr3:uid="{38850191-C60F-48C6-9ACA-51097DAA7D84}" uniqueName="6" name="Attendance_%" queryTableFieldId="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F0A50A25-1BAB-42DA-A28D-9CFE3322B365}" name="Student_Marks43" displayName="Student_Marks43" ref="A237:G242" tableType="queryTable" totalsRowShown="0">
  <autoFilter ref="A237:G242" xr:uid="{F0A50A25-1BAB-42DA-A28D-9CFE3322B365}"/>
  <tableColumns count="7">
    <tableColumn id="1" xr3:uid="{BFDA285E-F1D2-444E-8BE6-2EE540D6650A}" uniqueName="1" name="Student_ID" queryTableFieldId="1"/>
    <tableColumn id="2" xr3:uid="{507A7442-8DF4-45E2-B3F7-7A987D6A54D4}" uniqueName="2" name="Name" queryTableFieldId="2" dataDxfId="35"/>
    <tableColumn id="3" xr3:uid="{F4225404-329C-4804-9C1A-3BE4AC679E13}" uniqueName="3" name="Maths" queryTableFieldId="3"/>
    <tableColumn id="4" xr3:uid="{BB7924ED-FB8F-4EDF-9F01-4B6E53EAF8AA}" uniqueName="4" name="Statistics" queryTableFieldId="4"/>
    <tableColumn id="5" xr3:uid="{D56F206F-03AD-431F-8177-D8DDCEAADF3A}" uniqueName="5" name="Excel" queryTableFieldId="5"/>
    <tableColumn id="6" xr3:uid="{6A9A4733-90A7-4B31-9447-3D683A02DE63}" uniqueName="6" name="Attendance_%" queryTableFieldId="6"/>
    <tableColumn id="7" xr3:uid="{7F6AD1A0-B0A1-432A-B631-9E64849E1C7B}" uniqueName="7" name="Concat" queryTableFieldId="7" dataDxfId="34">
      <calculatedColumnFormula>_xlfn.CONCAT(Student_Marks43[[#This Row],[Student_ID]],Student_Marks43[[#This Row],[Name]])</calculatedColumnFormula>
    </tableColumn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01837DC-9151-4F7D-8DD3-A169C1C20647}" name="Sales_Data1548" displayName="Sales_Data1548" ref="A262:H268" tableType="queryTable" totalsRowShown="0" headerRowDxfId="33" headerRowBorderDxfId="32" tableBorderDxfId="31" totalsRowBorderDxfId="30">
  <autoFilter ref="A262:H268" xr:uid="{401837DC-9151-4F7D-8DD3-A169C1C20647}"/>
  <tableColumns count="8">
    <tableColumn id="1" xr3:uid="{8C599B18-8543-4CC1-8540-28FE073CB1A3}" uniqueName="1" name="Order_ID" queryTableFieldId="1" dataDxfId="29"/>
    <tableColumn id="2" xr3:uid="{76E4944F-A5FB-467B-AF74-1E0BCCC7052E}" uniqueName="2" name="Region" queryTableFieldId="2" dataDxfId="28"/>
    <tableColumn id="3" xr3:uid="{1ECC767C-EF77-47FF-8753-17495BA4073E}" uniqueName="3" name="Salesperson" queryTableFieldId="3" dataDxfId="27"/>
    <tableColumn id="4" xr3:uid="{FC7CF459-0B27-4EDF-A94D-F6A0ECE91322}" uniqueName="4" name="Product" queryTableFieldId="4" dataDxfId="26"/>
    <tableColumn id="5" xr3:uid="{57F7F197-84C3-4AE3-9329-ECF75F11B02D}" uniqueName="5" name="Quantity" queryTableFieldId="5" dataDxfId="25"/>
    <tableColumn id="6" xr3:uid="{6CC085AE-6CBC-4464-8526-2BE54CB2FD6D}" uniqueName="6" name="Unit_Price" queryTableFieldId="6" dataDxfId="24"/>
    <tableColumn id="7" xr3:uid="{B31367CB-6F91-47F2-8AB2-1BF7744868A5}" uniqueName="7" name="Sales_Date" queryTableFieldId="7" dataDxfId="23"/>
    <tableColumn id="8" xr3:uid="{0095B17A-6AED-43B6-826F-B8B0053ED104}" uniqueName="8" name="Total Sales" queryTableFieldId="8" dataDxfId="22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437265A-EE54-4F57-91FA-90004B639A95}" name="Sales_Data52" displayName="Sales_Data52" ref="A276:G282" tableType="queryTable" totalsRowShown="0">
  <autoFilter ref="A276:G282" xr:uid="{6437265A-EE54-4F57-91FA-90004B639A95}">
    <filterColumn colId="0">
      <filters>
        <filter val="301"/>
        <filter val="304"/>
      </filters>
    </filterColumn>
    <filterColumn colId="3">
      <filters>
        <filter val="Laptop"/>
      </filters>
    </filterColumn>
    <filterColumn colId="4">
      <filters>
        <filter val="1"/>
      </filters>
    </filterColumn>
  </autoFilter>
  <tableColumns count="7">
    <tableColumn id="1" xr3:uid="{17140AEA-B783-4C0B-9DE6-8D97A74BD6F8}" uniqueName="1" name="Order_ID" queryTableFieldId="1"/>
    <tableColumn id="2" xr3:uid="{2283B155-BE9F-4060-9EBE-809627ED0317}" uniqueName="2" name="Region" queryTableFieldId="2" dataDxfId="21"/>
    <tableColumn id="3" xr3:uid="{6B3EBA1D-A956-4295-9EF0-1DC433A73233}" uniqueName="3" name="Salesperson" queryTableFieldId="3" dataDxfId="20"/>
    <tableColumn id="4" xr3:uid="{61028389-C74C-4D9B-9CAE-70C9C8FBC8E1}" uniqueName="4" name="Product" queryTableFieldId="4" dataDxfId="19"/>
    <tableColumn id="5" xr3:uid="{3A24B93C-D809-4960-9121-70719E882165}" uniqueName="5" name="Quantity" queryTableFieldId="5"/>
    <tableColumn id="6" xr3:uid="{DCD641DB-D116-49F7-A3B8-0D363A999CE1}" uniqueName="6" name="Unit_Price" queryTableFieldId="6"/>
    <tableColumn id="7" xr3:uid="{183971B5-8F37-4EEB-BF0E-D89963A819AF}" uniqueName="7" name="Sales_Date" queryTableFieldId="7" dataDxfId="18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B34B05D-2381-4478-8580-C2931085AC92}" name="Sales_Data53" displayName="Sales_Data53" ref="A290:H296" tableType="queryTable" totalsRowShown="0">
  <autoFilter ref="A290:H296" xr:uid="{4B34B05D-2381-4478-8580-C2931085AC92}"/>
  <tableColumns count="8">
    <tableColumn id="1" xr3:uid="{EEFB445D-566F-4CBE-9CFF-3152009DD574}" uniqueName="1" name="Order_ID" queryTableFieldId="1"/>
    <tableColumn id="2" xr3:uid="{1F342463-42CF-4CFD-AB15-D65E5A04EE0C}" uniqueName="2" name="Region" queryTableFieldId="2" dataDxfId="17"/>
    <tableColumn id="3" xr3:uid="{CA884A60-FE15-4096-A968-752EFC1FC380}" uniqueName="3" name="Salesperson" queryTableFieldId="3" dataDxfId="16"/>
    <tableColumn id="4" xr3:uid="{1632C5C8-3889-4C65-9322-448A07016F44}" uniqueName="4" name="Product" queryTableFieldId="4" dataDxfId="15"/>
    <tableColumn id="5" xr3:uid="{FAEC3D85-68D7-40E9-B34A-AECA7261433F}" uniqueName="5" name="Quantity" queryTableFieldId="5"/>
    <tableColumn id="6" xr3:uid="{D28A2961-34C3-4757-B285-E44CFD65D332}" uniqueName="6" name="Unit_Price" queryTableFieldId="6"/>
    <tableColumn id="7" xr3:uid="{1CD9048B-3CFE-4F2A-A388-AA15DDC33799}" uniqueName="7" name="Sales_Date" queryTableFieldId="7" dataDxfId="14"/>
    <tableColumn id="8" xr3:uid="{0B4E2296-4A7F-457F-B666-8C5D8768301D}" uniqueName="8" name="Countifs" queryTableFieldId="8" dataDxfId="13">
      <calculatedColumnFormula>COUNTIFS(B:B,"North",D:D,"Laptop")</calculatedColumnFormula>
    </tableColumn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A5E078-604D-47B8-8889-B957E4950504}" name="Table6" displayName="Table6" ref="A248:B254" totalsRowShown="0" headerRowDxfId="12" headerRowBorderDxfId="11" tableBorderDxfId="10" totalsRowBorderDxfId="9">
  <autoFilter ref="A248:B254" xr:uid="{E6A5E078-604D-47B8-8889-B957E4950504}"/>
  <tableColumns count="2">
    <tableColumn id="1" xr3:uid="{1DEC7B0E-34EC-4547-B7EE-1E39669070C7}" name="Salesperson" dataDxfId="8"/>
    <tableColumn id="2" xr3:uid="{AD862962-A37A-4AA6-99D8-3F4C7BE3D439}" name="Left" dataDxfId="7">
      <calculatedColumnFormula>LEFT(A249,2)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71D0CF-0CB9-4C5B-9859-425B65554128}" name="Sales_Data11" displayName="Sales_Data11" ref="A302:H308" tableType="queryTable" totalsRowShown="0">
  <autoFilter ref="A302:H308" xr:uid="{E771D0CF-0CB9-4C5B-9859-425B65554128}"/>
  <tableColumns count="8">
    <tableColumn id="1" xr3:uid="{40D768E4-E319-4DBA-BBDB-2A2C86B41E97}" uniqueName="1" name="Order_ID" queryTableFieldId="1"/>
    <tableColumn id="2" xr3:uid="{38B4B0B8-9A29-461F-95E2-FAA28F65AB09}" uniqueName="2" name="Region" queryTableFieldId="2" dataDxfId="6"/>
    <tableColumn id="3" xr3:uid="{42628CBF-83B5-4656-A591-D04CB1F8BD61}" uniqueName="3" name="Salesperson" queryTableFieldId="3" dataDxfId="5"/>
    <tableColumn id="4" xr3:uid="{30FBDE9F-7195-4820-A64D-454510BD95B7}" uniqueName="4" name="Product" queryTableFieldId="4" dataDxfId="4"/>
    <tableColumn id="5" xr3:uid="{A4BD2348-2B9A-49A8-A46A-E1C6105284D8}" uniqueName="5" name="Quantity" queryTableFieldId="5"/>
    <tableColumn id="6" xr3:uid="{C0323F0B-BFD5-417C-898A-591D53E548D2}" uniqueName="6" name="Unit_Price" queryTableFieldId="6"/>
    <tableColumn id="7" xr3:uid="{FB34AB0F-AB4C-421D-A687-7459E3A44514}" uniqueName="7" name="Sales_Date" queryTableFieldId="7" dataDxfId="3"/>
    <tableColumn id="8" xr3:uid="{BBB0608A-B7BD-479A-BD75-FA73C8BB71A4}" uniqueName="8" name="Round" queryTableFieldId="8" dataDxfId="2">
      <calculatedColumnFormula>ROUND(Sales_Data11[[#This Row],[Unit_Price]],-3)</calculatedColumnFormula>
    </tableColumn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7ECCAE5-782C-4FE4-B617-CB4DD947254A}" name="Student_Marks17" displayName="Student_Marks17" ref="A313:F318" tableType="queryTable" totalsRowShown="0">
  <autoFilter ref="A313:F318" xr:uid="{B7ECCAE5-782C-4FE4-B617-CB4DD947254A}"/>
  <tableColumns count="6">
    <tableColumn id="1" xr3:uid="{9CFF0C32-3C0D-4124-A2FC-44F237B63241}" uniqueName="1" name="Student_ID" queryTableFieldId="1"/>
    <tableColumn id="2" xr3:uid="{572E16A2-E1F2-44C2-83CF-F7C2312E434B}" uniqueName="2" name="Name" queryTableFieldId="2" dataDxfId="1"/>
    <tableColumn id="3" xr3:uid="{B6D178EB-B819-4FD8-A7D8-3FDCEFB18D7C}" uniqueName="3" name="Maths" queryTableFieldId="3"/>
    <tableColumn id="4" xr3:uid="{142C7F55-F7B3-4957-90EC-B42772FA6C2B}" uniqueName="4" name="Statistics" queryTableFieldId="4"/>
    <tableColumn id="5" xr3:uid="{C71A0AF1-53B9-49B2-9B29-779B6E17ECB7}" uniqueName="5" name="Excel" queryTableFieldId="5"/>
    <tableColumn id="6" xr3:uid="{E0DC5404-65FD-4F3C-A606-A3296413E4A1}" uniqueName="6" name="Attendance_%" queryTableFieldId="6"/>
  </tableColumns>
  <tableStyleInfo name="TableStyleMedium16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6197BFF-A3D0-47CC-A3E0-A77398371879}" name="Sales_Data22" displayName="Sales_Data22" ref="A325:G331" tableType="queryTable" totalsRowShown="0">
  <autoFilter ref="A325:G331" xr:uid="{66197BFF-A3D0-47CC-A3E0-A77398371879}"/>
  <tableColumns count="7">
    <tableColumn id="1" xr3:uid="{FFDE9969-7509-49C0-B2B4-D98E700959A4}" uniqueName="1" name="Order_ID" queryTableFieldId="1"/>
    <tableColumn id="2" xr3:uid="{656A06B9-393A-4577-B3B4-FF967F3C6A14}" uniqueName="2" name="Region" queryTableFieldId="2"/>
    <tableColumn id="3" xr3:uid="{4D1A7864-F9B2-4707-865D-68B869F45C08}" uniqueName="3" name="Salesperson" queryTableFieldId="3"/>
    <tableColumn id="4" xr3:uid="{9A987D2D-16B1-43E8-BF47-3E616877EA8F}" uniqueName="4" name="Product" queryTableFieldId="4"/>
    <tableColumn id="5" xr3:uid="{3F9FA1A3-CF0A-4F70-8243-0C769F86A8EE}" uniqueName="5" name="Quantity" queryTableFieldId="5"/>
    <tableColumn id="6" xr3:uid="{4170917A-AF40-4C10-8A34-70CA24065B74}" uniqueName="6" name="Unit_Price" queryTableFieldId="6"/>
    <tableColumn id="7" xr3:uid="{1D6E1FCD-CC9C-4F6C-A282-95A4B0BE102F}" uniqueName="7" name="Sales_Date" queryTableFieldId="7"/>
  </tableColumns>
  <tableStyleInfo name="TableStyleMedium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43F625B-2175-4222-89E5-7773BB8F8298}" name="Student_Marks25" displayName="Student_Marks25" ref="A339:F344" tableType="queryTable" totalsRowShown="0">
  <autoFilter ref="A339:F344" xr:uid="{A43F625B-2175-4222-89E5-7773BB8F8298}"/>
  <tableColumns count="6">
    <tableColumn id="1" xr3:uid="{7426C561-FD97-40FA-A9F9-24A0315EB6AB}" uniqueName="1" name="Student_ID" queryTableFieldId="1"/>
    <tableColumn id="2" xr3:uid="{A88C0CF9-FE6A-46BC-8E27-A8BDAB463956}" uniqueName="2" name="Name" queryTableFieldId="2" dataDxfId="0"/>
    <tableColumn id="3" xr3:uid="{D752D2A0-AA93-41F8-9382-F2B1BA24DE1C}" uniqueName="3" name="Maths" queryTableFieldId="3"/>
    <tableColumn id="4" xr3:uid="{8D67D66E-2F96-465C-A89C-03A809805C84}" uniqueName="4" name="Statistics" queryTableFieldId="4"/>
    <tableColumn id="5" xr3:uid="{F7C6E0A5-C011-41DA-BAAD-2E54F1E8E8CC}" uniqueName="5" name="Excel" queryTableFieldId="5"/>
    <tableColumn id="6" xr3:uid="{8B82A8E9-F547-4A05-B58B-B3019C939901}" uniqueName="6" name="Attendance_%" queryTableField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13" Type="http://schemas.openxmlformats.org/officeDocument/2006/relationships/table" Target="../tables/table16.xml"/><Relationship Id="rId18" Type="http://schemas.openxmlformats.org/officeDocument/2006/relationships/table" Target="../tables/table21.xml"/><Relationship Id="rId26" Type="http://schemas.openxmlformats.org/officeDocument/2006/relationships/table" Target="../tables/table29.xml"/><Relationship Id="rId3" Type="http://schemas.openxmlformats.org/officeDocument/2006/relationships/table" Target="../tables/table6.xml"/><Relationship Id="rId21" Type="http://schemas.openxmlformats.org/officeDocument/2006/relationships/table" Target="../tables/table24.xml"/><Relationship Id="rId7" Type="http://schemas.openxmlformats.org/officeDocument/2006/relationships/table" Target="../tables/table10.xml"/><Relationship Id="rId12" Type="http://schemas.openxmlformats.org/officeDocument/2006/relationships/table" Target="../tables/table15.xml"/><Relationship Id="rId17" Type="http://schemas.openxmlformats.org/officeDocument/2006/relationships/table" Target="../tables/table20.xml"/><Relationship Id="rId25" Type="http://schemas.openxmlformats.org/officeDocument/2006/relationships/table" Target="../tables/table28.xml"/><Relationship Id="rId2" Type="http://schemas.openxmlformats.org/officeDocument/2006/relationships/drawing" Target="../drawings/drawing2.xml"/><Relationship Id="rId16" Type="http://schemas.openxmlformats.org/officeDocument/2006/relationships/table" Target="../tables/table19.xml"/><Relationship Id="rId20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11" Type="http://schemas.openxmlformats.org/officeDocument/2006/relationships/table" Target="../tables/table14.xml"/><Relationship Id="rId24" Type="http://schemas.openxmlformats.org/officeDocument/2006/relationships/table" Target="../tables/table27.xml"/><Relationship Id="rId5" Type="http://schemas.openxmlformats.org/officeDocument/2006/relationships/table" Target="../tables/table8.xml"/><Relationship Id="rId15" Type="http://schemas.openxmlformats.org/officeDocument/2006/relationships/table" Target="../tables/table18.xml"/><Relationship Id="rId23" Type="http://schemas.openxmlformats.org/officeDocument/2006/relationships/table" Target="../tables/table26.xml"/><Relationship Id="rId10" Type="http://schemas.openxmlformats.org/officeDocument/2006/relationships/table" Target="../tables/table13.xml"/><Relationship Id="rId19" Type="http://schemas.openxmlformats.org/officeDocument/2006/relationships/table" Target="../tables/table22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Relationship Id="rId14" Type="http://schemas.openxmlformats.org/officeDocument/2006/relationships/table" Target="../tables/table17.xml"/><Relationship Id="rId22" Type="http://schemas.openxmlformats.org/officeDocument/2006/relationships/table" Target="../tables/table25.xml"/><Relationship Id="rId27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7BF5-3B25-48A9-B5F8-054D3CA04DD2}">
  <dimension ref="A1:J33"/>
  <sheetViews>
    <sheetView topLeftCell="A2" workbookViewId="0">
      <selection activeCell="A2" sqref="A2:J33"/>
    </sheetView>
  </sheetViews>
  <sheetFormatPr defaultRowHeight="15" x14ac:dyDescent="0.25"/>
  <cols>
    <col min="1" max="1" width="62" bestFit="1" customWidth="1"/>
    <col min="2" max="9" width="11.140625" bestFit="1" customWidth="1"/>
    <col min="10" max="10" width="12.140625" bestFit="1" customWidth="1"/>
  </cols>
  <sheetData>
    <row r="1" spans="1:10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5">
      <c r="A2" t="s">
        <v>22</v>
      </c>
      <c r="J2">
        <v>2</v>
      </c>
    </row>
    <row r="3" spans="1:10" x14ac:dyDescent="0.25">
      <c r="A3" t="s">
        <v>23</v>
      </c>
      <c r="J3">
        <v>2</v>
      </c>
    </row>
    <row r="4" spans="1:10" x14ac:dyDescent="0.25">
      <c r="A4" t="s">
        <v>24</v>
      </c>
      <c r="J4">
        <v>2</v>
      </c>
    </row>
    <row r="5" spans="1:10" x14ac:dyDescent="0.25">
      <c r="A5" t="s">
        <v>25</v>
      </c>
      <c r="J5">
        <v>2</v>
      </c>
    </row>
    <row r="6" spans="1:10" x14ac:dyDescent="0.25">
      <c r="A6" t="s">
        <v>26</v>
      </c>
      <c r="J6">
        <v>2</v>
      </c>
    </row>
    <row r="7" spans="1:10" x14ac:dyDescent="0.25">
      <c r="A7" t="s">
        <v>27</v>
      </c>
      <c r="J7">
        <v>2</v>
      </c>
    </row>
    <row r="8" spans="1:10" x14ac:dyDescent="0.25">
      <c r="A8" t="s">
        <v>28</v>
      </c>
      <c r="J8">
        <v>2</v>
      </c>
    </row>
    <row r="9" spans="1:10" x14ac:dyDescent="0.25">
      <c r="A9" t="s">
        <v>29</v>
      </c>
      <c r="J9">
        <v>2</v>
      </c>
    </row>
    <row r="10" spans="1:10" x14ac:dyDescent="0.25">
      <c r="A10" t="s">
        <v>30</v>
      </c>
      <c r="J10">
        <v>2</v>
      </c>
    </row>
    <row r="11" spans="1:10" x14ac:dyDescent="0.25">
      <c r="A11" t="s">
        <v>31</v>
      </c>
      <c r="J11">
        <v>2</v>
      </c>
    </row>
    <row r="12" spans="1:10" x14ac:dyDescent="0.25">
      <c r="A12" t="s">
        <v>32</v>
      </c>
      <c r="J12">
        <v>2</v>
      </c>
    </row>
    <row r="13" spans="1:10" x14ac:dyDescent="0.25">
      <c r="A13" t="s">
        <v>33</v>
      </c>
      <c r="J13">
        <v>2</v>
      </c>
    </row>
    <row r="14" spans="1:10" x14ac:dyDescent="0.25">
      <c r="A14" t="s">
        <v>34</v>
      </c>
      <c r="J14">
        <v>2</v>
      </c>
    </row>
    <row r="15" spans="1:10" x14ac:dyDescent="0.25">
      <c r="A15" t="s">
        <v>35</v>
      </c>
      <c r="J15">
        <v>2</v>
      </c>
    </row>
    <row r="16" spans="1:10" x14ac:dyDescent="0.25">
      <c r="A16" t="s">
        <v>36</v>
      </c>
      <c r="J16">
        <v>2</v>
      </c>
    </row>
    <row r="17" spans="1:10" x14ac:dyDescent="0.25">
      <c r="A17" t="s">
        <v>37</v>
      </c>
      <c r="J17">
        <v>2</v>
      </c>
    </row>
    <row r="18" spans="1:10" x14ac:dyDescent="0.25">
      <c r="A18" t="s">
        <v>38</v>
      </c>
      <c r="J18">
        <v>2</v>
      </c>
    </row>
    <row r="19" spans="1:10" x14ac:dyDescent="0.25">
      <c r="A19" t="s">
        <v>39</v>
      </c>
      <c r="J19">
        <v>2</v>
      </c>
    </row>
    <row r="20" spans="1:10" x14ac:dyDescent="0.25">
      <c r="A20" t="s">
        <v>40</v>
      </c>
      <c r="J20">
        <v>2</v>
      </c>
    </row>
    <row r="21" spans="1:10" x14ac:dyDescent="0.25">
      <c r="A21" t="s">
        <v>41</v>
      </c>
      <c r="J21">
        <v>2</v>
      </c>
    </row>
    <row r="22" spans="1:10" x14ac:dyDescent="0.25">
      <c r="A22" t="s">
        <v>42</v>
      </c>
      <c r="J22">
        <v>2</v>
      </c>
    </row>
    <row r="23" spans="1:10" x14ac:dyDescent="0.25">
      <c r="A23" t="s">
        <v>43</v>
      </c>
      <c r="J23">
        <v>2</v>
      </c>
    </row>
    <row r="24" spans="1:10" x14ac:dyDescent="0.25">
      <c r="A24" t="s">
        <v>44</v>
      </c>
      <c r="J24">
        <v>2</v>
      </c>
    </row>
    <row r="25" spans="1:10" x14ac:dyDescent="0.25">
      <c r="A25" t="s">
        <v>45</v>
      </c>
      <c r="J25">
        <v>2</v>
      </c>
    </row>
    <row r="26" spans="1:10" x14ac:dyDescent="0.25">
      <c r="A26" t="s">
        <v>46</v>
      </c>
      <c r="J26">
        <v>2</v>
      </c>
    </row>
    <row r="27" spans="1:10" x14ac:dyDescent="0.25">
      <c r="A27" t="s">
        <v>47</v>
      </c>
      <c r="J27">
        <v>2</v>
      </c>
    </row>
    <row r="28" spans="1:10" x14ac:dyDescent="0.25">
      <c r="A28" t="s">
        <v>48</v>
      </c>
      <c r="J28">
        <v>2</v>
      </c>
    </row>
    <row r="29" spans="1:10" x14ac:dyDescent="0.25">
      <c r="A29" t="s">
        <v>49</v>
      </c>
      <c r="J29">
        <v>2</v>
      </c>
    </row>
    <row r="30" spans="1:10" x14ac:dyDescent="0.25">
      <c r="A30" t="s">
        <v>50</v>
      </c>
      <c r="J30">
        <v>2</v>
      </c>
    </row>
    <row r="31" spans="1:10" x14ac:dyDescent="0.25">
      <c r="A31" t="s">
        <v>51</v>
      </c>
      <c r="J31">
        <v>2</v>
      </c>
    </row>
    <row r="33" spans="10:10" x14ac:dyDescent="0.25">
      <c r="J33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8C85-E62B-4617-B037-2A110B7CD6B8}">
  <dimension ref="A1:A6"/>
  <sheetViews>
    <sheetView workbookViewId="0">
      <selection activeCell="A2" sqref="A2:A6"/>
    </sheetView>
  </sheetViews>
  <sheetFormatPr defaultRowHeight="15" x14ac:dyDescent="0.25"/>
  <cols>
    <col min="1" max="1" width="81.140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CE215-DA53-4C90-AA40-69D8B92813E3}">
  <dimension ref="A1:C4"/>
  <sheetViews>
    <sheetView workbookViewId="0">
      <selection activeCell="B1" sqref="B1"/>
    </sheetView>
  </sheetViews>
  <sheetFormatPr defaultRowHeight="15" x14ac:dyDescent="0.25"/>
  <cols>
    <col min="1" max="1" width="10.140625" bestFit="1" customWidth="1"/>
    <col min="2" max="2" width="11.140625" bestFit="1" customWidth="1"/>
    <col min="3" max="3" width="9.28515625" bestFit="1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9</v>
      </c>
      <c r="B2" t="s">
        <v>10</v>
      </c>
      <c r="C2">
        <v>18</v>
      </c>
    </row>
    <row r="3" spans="1:3" x14ac:dyDescent="0.25">
      <c r="A3" t="s">
        <v>11</v>
      </c>
      <c r="B3" t="s">
        <v>10</v>
      </c>
      <c r="C3">
        <v>12</v>
      </c>
    </row>
    <row r="4" spans="1:3" x14ac:dyDescent="0.25">
      <c r="A4" t="s">
        <v>12</v>
      </c>
      <c r="B4" t="s">
        <v>10</v>
      </c>
      <c r="C4">
        <v>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295E-D4E6-4C3A-82EA-3445C8253213}">
  <dimension ref="A1:G7"/>
  <sheetViews>
    <sheetView workbookViewId="0">
      <selection sqref="A1:G7"/>
    </sheetView>
  </sheetViews>
  <sheetFormatPr defaultRowHeight="15" x14ac:dyDescent="0.25"/>
  <cols>
    <col min="1" max="1" width="11.28515625" bestFit="1" customWidth="1"/>
    <col min="2" max="2" width="9.42578125" bestFit="1" customWidth="1"/>
    <col min="3" max="3" width="14" bestFit="1" customWidth="1"/>
    <col min="4" max="4" width="10.140625" bestFit="1" customWidth="1"/>
    <col min="5" max="5" width="11" bestFit="1" customWidth="1"/>
    <col min="6" max="6" width="12.5703125" bestFit="1" customWidth="1"/>
    <col min="7" max="7" width="13" style="2" bestFit="1" customWidth="1"/>
  </cols>
  <sheetData>
    <row r="1" spans="1:7" x14ac:dyDescent="0.25">
      <c r="A1" t="s">
        <v>52</v>
      </c>
      <c r="B1" t="s">
        <v>53</v>
      </c>
      <c r="C1" t="s">
        <v>54</v>
      </c>
      <c r="D1" t="s">
        <v>6</v>
      </c>
      <c r="E1" t="s">
        <v>55</v>
      </c>
      <c r="F1" t="s">
        <v>56</v>
      </c>
      <c r="G1" s="2" t="s">
        <v>57</v>
      </c>
    </row>
    <row r="2" spans="1:7" x14ac:dyDescent="0.25">
      <c r="A2">
        <v>301</v>
      </c>
      <c r="B2" t="s">
        <v>58</v>
      </c>
      <c r="C2" t="s">
        <v>59</v>
      </c>
      <c r="D2" t="s">
        <v>9</v>
      </c>
      <c r="E2">
        <v>2</v>
      </c>
      <c r="F2">
        <v>45000</v>
      </c>
      <c r="G2" s="2">
        <v>45662</v>
      </c>
    </row>
    <row r="3" spans="1:7" x14ac:dyDescent="0.25">
      <c r="A3">
        <v>302</v>
      </c>
      <c r="B3" t="s">
        <v>60</v>
      </c>
      <c r="C3" t="s">
        <v>61</v>
      </c>
      <c r="D3" t="s">
        <v>11</v>
      </c>
      <c r="E3">
        <v>5</v>
      </c>
      <c r="F3">
        <v>15000</v>
      </c>
      <c r="G3" s="2">
        <v>45664</v>
      </c>
    </row>
    <row r="4" spans="1:7" x14ac:dyDescent="0.25">
      <c r="A4">
        <v>303</v>
      </c>
      <c r="B4" t="s">
        <v>62</v>
      </c>
      <c r="C4" t="s">
        <v>63</v>
      </c>
      <c r="D4" t="s">
        <v>12</v>
      </c>
      <c r="E4">
        <v>3</v>
      </c>
      <c r="F4">
        <v>18000</v>
      </c>
      <c r="G4" s="2">
        <v>45667</v>
      </c>
    </row>
    <row r="5" spans="1:7" x14ac:dyDescent="0.25">
      <c r="A5">
        <v>304</v>
      </c>
      <c r="B5" t="s">
        <v>64</v>
      </c>
      <c r="C5" t="s">
        <v>65</v>
      </c>
      <c r="D5" t="s">
        <v>9</v>
      </c>
      <c r="E5">
        <v>1</v>
      </c>
      <c r="F5">
        <v>45000</v>
      </c>
      <c r="G5" s="2">
        <v>45669</v>
      </c>
    </row>
    <row r="6" spans="1:7" x14ac:dyDescent="0.25">
      <c r="A6">
        <v>305</v>
      </c>
      <c r="B6" t="s">
        <v>58</v>
      </c>
      <c r="C6" t="s">
        <v>59</v>
      </c>
      <c r="D6" t="s">
        <v>11</v>
      </c>
      <c r="E6">
        <v>4</v>
      </c>
      <c r="F6">
        <v>15000</v>
      </c>
      <c r="G6" s="2">
        <v>45672</v>
      </c>
    </row>
    <row r="7" spans="1:7" x14ac:dyDescent="0.25">
      <c r="A7">
        <v>306</v>
      </c>
      <c r="B7" t="s">
        <v>60</v>
      </c>
      <c r="C7" t="s">
        <v>61</v>
      </c>
      <c r="D7" t="s">
        <v>9</v>
      </c>
      <c r="E7">
        <v>2</v>
      </c>
      <c r="F7">
        <v>45000</v>
      </c>
      <c r="G7" s="2">
        <v>45675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DE99A-3D2C-40CE-8E8D-A95587AA51BE}">
  <dimension ref="A1:F6"/>
  <sheetViews>
    <sheetView workbookViewId="0">
      <selection sqref="A1:F6"/>
    </sheetView>
  </sheetViews>
  <sheetFormatPr defaultRowHeight="15" x14ac:dyDescent="0.25"/>
  <cols>
    <col min="1" max="1" width="13.140625" bestFit="1" customWidth="1"/>
    <col min="2" max="2" width="8.5703125" bestFit="1" customWidth="1"/>
    <col min="3" max="3" width="8.85546875" bestFit="1" customWidth="1"/>
    <col min="4" max="4" width="11.140625" bestFit="1" customWidth="1"/>
    <col min="5" max="5" width="7.85546875" bestFit="1" customWidth="1"/>
    <col min="6" max="6" width="16.28515625" bestFit="1" customWidth="1"/>
  </cols>
  <sheetData>
    <row r="1" spans="1:6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25">
      <c r="A2">
        <v>1</v>
      </c>
      <c r="B2" t="s">
        <v>72</v>
      </c>
      <c r="C2">
        <v>78</v>
      </c>
      <c r="D2">
        <v>82</v>
      </c>
      <c r="E2">
        <v>85</v>
      </c>
      <c r="F2">
        <v>92</v>
      </c>
    </row>
    <row r="3" spans="1:6" x14ac:dyDescent="0.25">
      <c r="A3">
        <v>2</v>
      </c>
      <c r="B3" t="s">
        <v>73</v>
      </c>
      <c r="C3">
        <v>88</v>
      </c>
      <c r="D3">
        <v>91</v>
      </c>
      <c r="E3">
        <v>90</v>
      </c>
      <c r="F3">
        <v>96</v>
      </c>
    </row>
    <row r="4" spans="1:6" x14ac:dyDescent="0.25">
      <c r="A4">
        <v>3</v>
      </c>
      <c r="B4" t="s">
        <v>74</v>
      </c>
      <c r="C4">
        <v>65</v>
      </c>
      <c r="D4">
        <v>70</v>
      </c>
      <c r="E4">
        <v>72</v>
      </c>
      <c r="F4">
        <v>85</v>
      </c>
    </row>
    <row r="5" spans="1:6" x14ac:dyDescent="0.25">
      <c r="A5">
        <v>4</v>
      </c>
      <c r="B5" t="s">
        <v>75</v>
      </c>
      <c r="C5">
        <v>92</v>
      </c>
      <c r="D5">
        <v>89</v>
      </c>
      <c r="E5">
        <v>94</v>
      </c>
      <c r="F5">
        <v>98</v>
      </c>
    </row>
    <row r="6" spans="1:6" x14ac:dyDescent="0.25">
      <c r="A6">
        <v>5</v>
      </c>
      <c r="B6" t="s">
        <v>76</v>
      </c>
      <c r="C6">
        <v>55</v>
      </c>
      <c r="D6">
        <v>60</v>
      </c>
      <c r="E6">
        <v>58</v>
      </c>
      <c r="F6">
        <v>80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BCB8-A6BF-44FA-B7C6-C6BE491AA28E}">
  <dimension ref="B7:K29"/>
  <sheetViews>
    <sheetView topLeftCell="A4" workbookViewId="0">
      <selection activeCell="J9" sqref="J9:K14"/>
    </sheetView>
  </sheetViews>
  <sheetFormatPr defaultRowHeight="15" x14ac:dyDescent="0.25"/>
  <cols>
    <col min="2" max="2" width="13.140625" bestFit="1" customWidth="1"/>
    <col min="3" max="3" width="17.28515625" bestFit="1" customWidth="1"/>
    <col min="4" max="4" width="12.140625" bestFit="1" customWidth="1"/>
    <col min="10" max="10" width="13.140625" bestFit="1" customWidth="1"/>
    <col min="11" max="12" width="17.28515625" bestFit="1" customWidth="1"/>
  </cols>
  <sheetData>
    <row r="7" spans="2:11" x14ac:dyDescent="0.25">
      <c r="B7" s="3" t="s">
        <v>37</v>
      </c>
      <c r="I7" t="s">
        <v>38</v>
      </c>
    </row>
    <row r="9" spans="2:11" x14ac:dyDescent="0.25">
      <c r="B9" s="17" t="s">
        <v>80</v>
      </c>
      <c r="C9" t="s">
        <v>85</v>
      </c>
      <c r="J9" s="17" t="s">
        <v>80</v>
      </c>
      <c r="K9" t="s">
        <v>85</v>
      </c>
    </row>
    <row r="10" spans="2:11" x14ac:dyDescent="0.25">
      <c r="B10" s="18" t="s">
        <v>9</v>
      </c>
      <c r="C10" s="36">
        <v>414000</v>
      </c>
      <c r="J10" s="18" t="s">
        <v>62</v>
      </c>
      <c r="K10" s="36">
        <v>414000</v>
      </c>
    </row>
    <row r="11" spans="2:11" x14ac:dyDescent="0.25">
      <c r="B11" s="18" t="s">
        <v>11</v>
      </c>
      <c r="C11" s="36">
        <v>414000</v>
      </c>
      <c r="J11" s="18" t="s">
        <v>58</v>
      </c>
      <c r="K11" s="36">
        <v>414000</v>
      </c>
    </row>
    <row r="12" spans="2:11" x14ac:dyDescent="0.25">
      <c r="B12" s="18" t="s">
        <v>12</v>
      </c>
      <c r="C12" s="36">
        <v>414000</v>
      </c>
      <c r="J12" s="18" t="s">
        <v>60</v>
      </c>
      <c r="K12" s="36">
        <v>414000</v>
      </c>
    </row>
    <row r="13" spans="2:11" x14ac:dyDescent="0.25">
      <c r="B13" s="18" t="s">
        <v>81</v>
      </c>
      <c r="C13" s="36">
        <v>414000</v>
      </c>
      <c r="J13" s="18" t="s">
        <v>64</v>
      </c>
      <c r="K13" s="36">
        <v>414000</v>
      </c>
    </row>
    <row r="14" spans="2:11" x14ac:dyDescent="0.25">
      <c r="J14" s="18" t="s">
        <v>81</v>
      </c>
      <c r="K14" s="36">
        <v>414000</v>
      </c>
    </row>
    <row r="22" spans="2:3" x14ac:dyDescent="0.25">
      <c r="B22" s="3"/>
    </row>
    <row r="23" spans="2:3" x14ac:dyDescent="0.25">
      <c r="B23" s="17" t="s">
        <v>80</v>
      </c>
      <c r="C23" t="s">
        <v>86</v>
      </c>
    </row>
    <row r="24" spans="2:3" x14ac:dyDescent="0.25">
      <c r="B24" s="18">
        <v>1</v>
      </c>
      <c r="C24" s="36">
        <v>85</v>
      </c>
    </row>
    <row r="25" spans="2:3" x14ac:dyDescent="0.25">
      <c r="B25" s="18">
        <v>2</v>
      </c>
      <c r="C25" s="36">
        <v>90</v>
      </c>
    </row>
    <row r="26" spans="2:3" x14ac:dyDescent="0.25">
      <c r="B26" s="18">
        <v>3</v>
      </c>
      <c r="C26" s="36">
        <v>72</v>
      </c>
    </row>
    <row r="27" spans="2:3" x14ac:dyDescent="0.25">
      <c r="B27" s="18">
        <v>4</v>
      </c>
      <c r="C27" s="36">
        <v>94</v>
      </c>
    </row>
    <row r="28" spans="2:3" x14ac:dyDescent="0.25">
      <c r="B28" s="18">
        <v>5</v>
      </c>
      <c r="C28" s="36">
        <v>58</v>
      </c>
    </row>
    <row r="29" spans="2:3" x14ac:dyDescent="0.25">
      <c r="B29" s="18" t="s">
        <v>81</v>
      </c>
      <c r="C29" s="36">
        <v>399</v>
      </c>
    </row>
  </sheetData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B3CC-1412-4092-994B-84D9FD128DFB}">
  <dimension ref="A1:M344"/>
  <sheetViews>
    <sheetView tabSelected="1" workbookViewId="0">
      <selection activeCell="K36" sqref="K36"/>
    </sheetView>
  </sheetViews>
  <sheetFormatPr defaultRowHeight="15" x14ac:dyDescent="0.25"/>
  <cols>
    <col min="1" max="1" width="12.85546875" customWidth="1"/>
    <col min="2" max="2" width="15.28515625" bestFit="1" customWidth="1"/>
    <col min="3" max="3" width="7.7109375" bestFit="1" customWidth="1"/>
    <col min="4" max="4" width="13.28515625" customWidth="1"/>
    <col min="7" max="7" width="18.42578125" customWidth="1"/>
    <col min="8" max="8" width="13.7109375" customWidth="1"/>
    <col min="9" max="9" width="16.140625" customWidth="1"/>
    <col min="10" max="10" width="41.42578125" customWidth="1"/>
    <col min="11" max="11" width="15.140625" customWidth="1"/>
    <col min="12" max="12" width="11" customWidth="1"/>
    <col min="13" max="13" width="15" customWidth="1"/>
  </cols>
  <sheetData>
    <row r="1" spans="1:11" ht="21" x14ac:dyDescent="0.25">
      <c r="G1" s="35" t="s">
        <v>22</v>
      </c>
      <c r="H1" s="35"/>
      <c r="I1" s="35"/>
      <c r="J1" s="35"/>
      <c r="K1" s="35"/>
    </row>
    <row r="3" spans="1:11" x14ac:dyDescent="0.25">
      <c r="A3" t="s">
        <v>52</v>
      </c>
      <c r="B3" t="s">
        <v>53</v>
      </c>
      <c r="C3" t="s">
        <v>54</v>
      </c>
      <c r="D3" t="s">
        <v>6</v>
      </c>
      <c r="E3" t="s">
        <v>55</v>
      </c>
      <c r="F3" t="s">
        <v>56</v>
      </c>
      <c r="G3" t="s">
        <v>57</v>
      </c>
      <c r="H3" t="s">
        <v>77</v>
      </c>
    </row>
    <row r="4" spans="1:11" x14ac:dyDescent="0.25">
      <c r="A4">
        <v>301</v>
      </c>
      <c r="B4" t="s">
        <v>58</v>
      </c>
      <c r="C4" t="s">
        <v>59</v>
      </c>
      <c r="D4" t="s">
        <v>9</v>
      </c>
      <c r="E4">
        <v>2</v>
      </c>
      <c r="F4">
        <v>45000</v>
      </c>
      <c r="G4" s="2">
        <v>45662</v>
      </c>
      <c r="H4">
        <f t="shared" ref="H4:H9" si="0">(E4*F4)</f>
        <v>90000</v>
      </c>
    </row>
    <row r="5" spans="1:11" x14ac:dyDescent="0.25">
      <c r="A5">
        <v>302</v>
      </c>
      <c r="B5" t="s">
        <v>60</v>
      </c>
      <c r="C5" t="s">
        <v>61</v>
      </c>
      <c r="D5" t="s">
        <v>11</v>
      </c>
      <c r="E5">
        <v>5</v>
      </c>
      <c r="F5">
        <v>15000</v>
      </c>
      <c r="G5" s="2">
        <v>45664</v>
      </c>
      <c r="H5">
        <f t="shared" si="0"/>
        <v>75000</v>
      </c>
    </row>
    <row r="6" spans="1:11" x14ac:dyDescent="0.25">
      <c r="A6">
        <v>303</v>
      </c>
      <c r="B6" t="s">
        <v>62</v>
      </c>
      <c r="C6" t="s">
        <v>63</v>
      </c>
      <c r="D6" t="s">
        <v>12</v>
      </c>
      <c r="E6">
        <v>3</v>
      </c>
      <c r="F6">
        <v>18000</v>
      </c>
      <c r="G6" s="2">
        <v>45667</v>
      </c>
      <c r="H6">
        <f t="shared" si="0"/>
        <v>54000</v>
      </c>
    </row>
    <row r="7" spans="1:11" x14ac:dyDescent="0.25">
      <c r="A7">
        <v>304</v>
      </c>
      <c r="B7" t="s">
        <v>64</v>
      </c>
      <c r="C7" t="s">
        <v>65</v>
      </c>
      <c r="D7" t="s">
        <v>9</v>
      </c>
      <c r="E7">
        <v>1</v>
      </c>
      <c r="F7">
        <v>45000</v>
      </c>
      <c r="G7" s="2">
        <v>45669</v>
      </c>
      <c r="H7">
        <f t="shared" si="0"/>
        <v>45000</v>
      </c>
    </row>
    <row r="8" spans="1:11" x14ac:dyDescent="0.25">
      <c r="A8">
        <v>305</v>
      </c>
      <c r="B8" t="s">
        <v>58</v>
      </c>
      <c r="C8" t="s">
        <v>59</v>
      </c>
      <c r="D8" t="s">
        <v>11</v>
      </c>
      <c r="E8">
        <v>4</v>
      </c>
      <c r="F8">
        <v>15000</v>
      </c>
      <c r="G8" s="2">
        <v>45672</v>
      </c>
      <c r="H8">
        <f t="shared" si="0"/>
        <v>60000</v>
      </c>
    </row>
    <row r="9" spans="1:11" x14ac:dyDescent="0.25">
      <c r="A9">
        <v>306</v>
      </c>
      <c r="B9" t="s">
        <v>60</v>
      </c>
      <c r="C9" t="s">
        <v>61</v>
      </c>
      <c r="D9" t="s">
        <v>9</v>
      </c>
      <c r="E9">
        <v>2</v>
      </c>
      <c r="F9">
        <v>45000</v>
      </c>
      <c r="G9" s="2">
        <v>45675</v>
      </c>
      <c r="H9">
        <f t="shared" si="0"/>
        <v>90000</v>
      </c>
    </row>
    <row r="10" spans="1:11" x14ac:dyDescent="0.25">
      <c r="G10" s="2"/>
      <c r="H10">
        <f>SUM(Sales_Data8[Total Sales])</f>
        <v>414000</v>
      </c>
    </row>
    <row r="12" spans="1:11" ht="21" x14ac:dyDescent="0.25">
      <c r="F12" s="1"/>
      <c r="G12" s="35" t="s">
        <v>23</v>
      </c>
      <c r="H12" s="35"/>
      <c r="I12" s="35"/>
      <c r="J12" s="35"/>
      <c r="K12" s="35"/>
    </row>
    <row r="14" spans="1:11" x14ac:dyDescent="0.25">
      <c r="A14" s="7" t="s">
        <v>6</v>
      </c>
      <c r="B14" s="11" t="s">
        <v>7</v>
      </c>
      <c r="C14" s="11" t="s">
        <v>8</v>
      </c>
      <c r="D14" s="11" t="s">
        <v>92</v>
      </c>
    </row>
    <row r="15" spans="1:11" x14ac:dyDescent="0.25">
      <c r="A15" s="5" t="s">
        <v>9</v>
      </c>
      <c r="B15" s="4" t="s">
        <v>10</v>
      </c>
      <c r="C15" s="4">
        <v>18</v>
      </c>
      <c r="D15">
        <f t="shared" ref="D15:D17" si="1">H4*VLOOKUP(D4,A15:C17,3,FALSE)/100</f>
        <v>16200</v>
      </c>
    </row>
    <row r="16" spans="1:11" x14ac:dyDescent="0.25">
      <c r="A16" s="5" t="s">
        <v>11</v>
      </c>
      <c r="B16" s="4" t="s">
        <v>10</v>
      </c>
      <c r="C16" s="4">
        <v>12</v>
      </c>
      <c r="D16">
        <f t="shared" si="1"/>
        <v>9000</v>
      </c>
    </row>
    <row r="17" spans="1:11" x14ac:dyDescent="0.25">
      <c r="A17" s="9" t="s">
        <v>12</v>
      </c>
      <c r="B17" s="12" t="s">
        <v>10</v>
      </c>
      <c r="C17" s="12">
        <v>12</v>
      </c>
      <c r="D17">
        <f t="shared" si="1"/>
        <v>6480</v>
      </c>
    </row>
    <row r="20" spans="1:11" ht="21" x14ac:dyDescent="0.25">
      <c r="G20" s="35" t="s">
        <v>24</v>
      </c>
      <c r="H20" s="35"/>
      <c r="I20" s="35"/>
      <c r="J20" s="35"/>
      <c r="K20" s="35"/>
    </row>
    <row r="22" spans="1:11" x14ac:dyDescent="0.25">
      <c r="A22" s="4" t="s">
        <v>52</v>
      </c>
      <c r="B22" s="4" t="s">
        <v>53</v>
      </c>
      <c r="C22" s="4" t="s">
        <v>54</v>
      </c>
      <c r="D22" s="4" t="s">
        <v>6</v>
      </c>
      <c r="E22" s="4" t="s">
        <v>55</v>
      </c>
      <c r="F22" s="4" t="s">
        <v>56</v>
      </c>
      <c r="G22" s="14" t="s">
        <v>57</v>
      </c>
      <c r="H22" s="16" t="s">
        <v>82</v>
      </c>
    </row>
    <row r="23" spans="1:11" x14ac:dyDescent="0.25">
      <c r="A23" s="4">
        <v>301</v>
      </c>
      <c r="B23" s="4" t="s">
        <v>58</v>
      </c>
      <c r="C23" s="4" t="s">
        <v>59</v>
      </c>
      <c r="D23" s="4" t="s">
        <v>9</v>
      </c>
      <c r="E23" s="4">
        <v>2</v>
      </c>
      <c r="F23" s="4">
        <v>45000</v>
      </c>
      <c r="G23" s="14">
        <v>45662</v>
      </c>
      <c r="H23">
        <f t="shared" ref="H23:H28" si="2">H4+D15</f>
        <v>106200</v>
      </c>
    </row>
    <row r="24" spans="1:11" x14ac:dyDescent="0.25">
      <c r="A24" s="4">
        <v>302</v>
      </c>
      <c r="B24" s="4" t="s">
        <v>60</v>
      </c>
      <c r="C24" s="4" t="s">
        <v>61</v>
      </c>
      <c r="D24" s="4" t="s">
        <v>11</v>
      </c>
      <c r="E24" s="4">
        <v>5</v>
      </c>
      <c r="F24" s="4">
        <v>15000</v>
      </c>
      <c r="G24" s="14">
        <v>45664</v>
      </c>
      <c r="H24">
        <f t="shared" si="2"/>
        <v>84000</v>
      </c>
    </row>
    <row r="25" spans="1:11" x14ac:dyDescent="0.25">
      <c r="A25" s="4">
        <v>303</v>
      </c>
      <c r="B25" s="4" t="s">
        <v>62</v>
      </c>
      <c r="C25" s="4" t="s">
        <v>63</v>
      </c>
      <c r="D25" s="4" t="s">
        <v>12</v>
      </c>
      <c r="E25" s="4">
        <v>3</v>
      </c>
      <c r="F25" s="4">
        <v>18000</v>
      </c>
      <c r="G25" s="14">
        <v>45667</v>
      </c>
      <c r="H25">
        <f t="shared" si="2"/>
        <v>60480</v>
      </c>
    </row>
    <row r="26" spans="1:11" x14ac:dyDescent="0.25">
      <c r="A26" s="4">
        <v>304</v>
      </c>
      <c r="B26" s="4" t="s">
        <v>64</v>
      </c>
      <c r="C26" s="4" t="s">
        <v>65</v>
      </c>
      <c r="D26" s="4" t="s">
        <v>9</v>
      </c>
      <c r="E26" s="4">
        <v>1</v>
      </c>
      <c r="F26" s="4">
        <v>45000</v>
      </c>
      <c r="G26" s="14">
        <v>45669</v>
      </c>
      <c r="H26">
        <f t="shared" si="2"/>
        <v>45000</v>
      </c>
    </row>
    <row r="27" spans="1:11" x14ac:dyDescent="0.25">
      <c r="A27" s="4">
        <v>305</v>
      </c>
      <c r="B27" s="4" t="s">
        <v>58</v>
      </c>
      <c r="C27" s="4" t="s">
        <v>59</v>
      </c>
      <c r="D27" s="4" t="s">
        <v>11</v>
      </c>
      <c r="E27" s="4">
        <v>4</v>
      </c>
      <c r="F27" s="4">
        <v>15000</v>
      </c>
      <c r="G27" s="14">
        <v>45672</v>
      </c>
      <c r="H27">
        <f t="shared" si="2"/>
        <v>60000</v>
      </c>
    </row>
    <row r="28" spans="1:11" x14ac:dyDescent="0.25">
      <c r="A28" s="4">
        <v>306</v>
      </c>
      <c r="B28" s="4" t="s">
        <v>60</v>
      </c>
      <c r="C28" s="4" t="s">
        <v>61</v>
      </c>
      <c r="D28" s="4" t="s">
        <v>9</v>
      </c>
      <c r="E28" s="4">
        <v>2</v>
      </c>
      <c r="F28" s="4">
        <v>45000</v>
      </c>
      <c r="G28" s="14">
        <v>45675</v>
      </c>
      <c r="H28">
        <f t="shared" si="2"/>
        <v>90000</v>
      </c>
    </row>
    <row r="31" spans="1:11" ht="21" x14ac:dyDescent="0.25">
      <c r="G31" s="35" t="s">
        <v>25</v>
      </c>
      <c r="H31" s="35"/>
      <c r="I31" s="35"/>
      <c r="J31" s="35"/>
      <c r="K31" s="35"/>
    </row>
    <row r="33" spans="1:10" ht="15.75" x14ac:dyDescent="0.25">
      <c r="B33" s="19" t="s">
        <v>93</v>
      </c>
      <c r="C33" s="19">
        <f>SUM(H23:H28)</f>
        <v>445680</v>
      </c>
    </row>
    <row r="36" spans="1:10" ht="21" x14ac:dyDescent="0.25">
      <c r="G36" s="35" t="s">
        <v>26</v>
      </c>
      <c r="H36" s="35"/>
      <c r="I36" s="35"/>
      <c r="J36" s="35"/>
    </row>
    <row r="38" spans="1:10" x14ac:dyDescent="0.25">
      <c r="A38" s="7" t="s">
        <v>52</v>
      </c>
      <c r="B38" s="11" t="s">
        <v>53</v>
      </c>
      <c r="C38" s="11" t="s">
        <v>54</v>
      </c>
      <c r="D38" s="11" t="s">
        <v>6</v>
      </c>
      <c r="E38" s="11" t="s">
        <v>55</v>
      </c>
      <c r="F38" s="11" t="s">
        <v>56</v>
      </c>
      <c r="G38" s="32" t="s">
        <v>57</v>
      </c>
    </row>
    <row r="39" spans="1:10" x14ac:dyDescent="0.25">
      <c r="A39" s="5">
        <v>301</v>
      </c>
      <c r="B39" s="4" t="s">
        <v>58</v>
      </c>
      <c r="C39" s="4" t="s">
        <v>59</v>
      </c>
      <c r="D39" s="4" t="s">
        <v>9</v>
      </c>
      <c r="E39" s="4">
        <v>2</v>
      </c>
      <c r="F39" s="4">
        <v>45000</v>
      </c>
      <c r="G39" s="33">
        <v>45662</v>
      </c>
      <c r="J39" s="20" t="s">
        <v>94</v>
      </c>
    </row>
    <row r="40" spans="1:10" x14ac:dyDescent="0.25">
      <c r="A40" s="5">
        <v>302</v>
      </c>
      <c r="B40" s="4" t="s">
        <v>60</v>
      </c>
      <c r="C40" s="4" t="s">
        <v>61</v>
      </c>
      <c r="D40" s="4" t="s">
        <v>11</v>
      </c>
      <c r="E40" s="4">
        <v>5</v>
      </c>
      <c r="F40" s="4">
        <v>15000</v>
      </c>
      <c r="G40" s="33">
        <v>45664</v>
      </c>
      <c r="J40" s="20">
        <f>COUNT(A39:A44)</f>
        <v>6</v>
      </c>
    </row>
    <row r="41" spans="1:10" x14ac:dyDescent="0.25">
      <c r="A41" s="5">
        <v>303</v>
      </c>
      <c r="B41" s="4" t="s">
        <v>62</v>
      </c>
      <c r="C41" s="4" t="s">
        <v>63</v>
      </c>
      <c r="D41" s="4" t="s">
        <v>12</v>
      </c>
      <c r="E41" s="4">
        <v>3</v>
      </c>
      <c r="F41" s="4">
        <v>18000</v>
      </c>
      <c r="G41" s="33">
        <v>45667</v>
      </c>
    </row>
    <row r="42" spans="1:10" x14ac:dyDescent="0.25">
      <c r="A42" s="5">
        <v>304</v>
      </c>
      <c r="B42" s="4" t="s">
        <v>64</v>
      </c>
      <c r="C42" s="4" t="s">
        <v>65</v>
      </c>
      <c r="D42" s="4" t="s">
        <v>9</v>
      </c>
      <c r="E42" s="4">
        <v>1</v>
      </c>
      <c r="F42" s="4">
        <v>45000</v>
      </c>
      <c r="G42" s="33">
        <v>45669</v>
      </c>
    </row>
    <row r="43" spans="1:10" x14ac:dyDescent="0.25">
      <c r="A43" s="5">
        <v>305</v>
      </c>
      <c r="B43" s="4" t="s">
        <v>58</v>
      </c>
      <c r="C43" s="4" t="s">
        <v>59</v>
      </c>
      <c r="D43" s="4" t="s">
        <v>11</v>
      </c>
      <c r="E43" s="4">
        <v>4</v>
      </c>
      <c r="F43" s="4">
        <v>15000</v>
      </c>
      <c r="G43" s="33">
        <v>45672</v>
      </c>
    </row>
    <row r="44" spans="1:10" x14ac:dyDescent="0.25">
      <c r="A44" s="9">
        <v>306</v>
      </c>
      <c r="B44" s="12" t="s">
        <v>60</v>
      </c>
      <c r="C44" s="12" t="s">
        <v>61</v>
      </c>
      <c r="D44" s="12" t="s">
        <v>9</v>
      </c>
      <c r="E44" s="12">
        <v>2</v>
      </c>
      <c r="F44" s="12">
        <v>45000</v>
      </c>
      <c r="G44" s="34">
        <v>45675</v>
      </c>
    </row>
    <row r="46" spans="1:10" ht="21" x14ac:dyDescent="0.25">
      <c r="G46" s="35" t="s">
        <v>27</v>
      </c>
      <c r="H46" s="35"/>
      <c r="I46" s="35"/>
      <c r="J46" s="35"/>
    </row>
    <row r="49" spans="1:10" x14ac:dyDescent="0.25">
      <c r="A49" s="7" t="s">
        <v>52</v>
      </c>
      <c r="B49" s="11" t="s">
        <v>53</v>
      </c>
      <c r="C49" s="11" t="s">
        <v>54</v>
      </c>
      <c r="D49" s="11" t="s">
        <v>6</v>
      </c>
      <c r="E49" s="11" t="s">
        <v>55</v>
      </c>
      <c r="F49" s="11" t="s">
        <v>56</v>
      </c>
      <c r="G49" s="13" t="s">
        <v>57</v>
      </c>
      <c r="H49" s="11" t="s">
        <v>77</v>
      </c>
      <c r="I49" s="11" t="s">
        <v>95</v>
      </c>
      <c r="J49" s="8" t="s">
        <v>96</v>
      </c>
    </row>
    <row r="50" spans="1:10" x14ac:dyDescent="0.25">
      <c r="A50" s="5">
        <v>301</v>
      </c>
      <c r="B50" s="4" t="s">
        <v>58</v>
      </c>
      <c r="C50" s="4" t="s">
        <v>59</v>
      </c>
      <c r="D50" s="4" t="s">
        <v>9</v>
      </c>
      <c r="E50" s="4">
        <v>2</v>
      </c>
      <c r="F50" s="4">
        <v>45000</v>
      </c>
      <c r="G50" s="14">
        <v>45662</v>
      </c>
      <c r="H50" s="4">
        <v>90000</v>
      </c>
      <c r="I50" s="4" t="s">
        <v>58</v>
      </c>
      <c r="J50" s="6">
        <f t="shared" ref="J50:J55" si="3">SUMIF(B50:B55,I50,H50:H55)</f>
        <v>150000</v>
      </c>
    </row>
    <row r="51" spans="1:10" x14ac:dyDescent="0.25">
      <c r="A51" s="5">
        <v>302</v>
      </c>
      <c r="B51" s="4" t="s">
        <v>60</v>
      </c>
      <c r="C51" s="4" t="s">
        <v>61</v>
      </c>
      <c r="D51" s="4" t="s">
        <v>11</v>
      </c>
      <c r="E51" s="4">
        <v>5</v>
      </c>
      <c r="F51" s="4">
        <v>15000</v>
      </c>
      <c r="G51" s="14">
        <v>45664</v>
      </c>
      <c r="H51" s="4">
        <v>75000</v>
      </c>
      <c r="I51" s="4" t="s">
        <v>60</v>
      </c>
      <c r="J51" s="6">
        <f t="shared" si="3"/>
        <v>165000</v>
      </c>
    </row>
    <row r="52" spans="1:10" x14ac:dyDescent="0.25">
      <c r="A52" s="5">
        <v>303</v>
      </c>
      <c r="B52" s="4" t="s">
        <v>62</v>
      </c>
      <c r="C52" s="4" t="s">
        <v>63</v>
      </c>
      <c r="D52" s="4" t="s">
        <v>12</v>
      </c>
      <c r="E52" s="4">
        <v>3</v>
      </c>
      <c r="F52" s="4">
        <v>18000</v>
      </c>
      <c r="G52" s="14">
        <v>45667</v>
      </c>
      <c r="H52" s="4">
        <v>54000</v>
      </c>
      <c r="I52" s="4" t="s">
        <v>62</v>
      </c>
      <c r="J52" s="6">
        <f t="shared" si="3"/>
        <v>54000</v>
      </c>
    </row>
    <row r="53" spans="1:10" x14ac:dyDescent="0.25">
      <c r="A53" s="5">
        <v>304</v>
      </c>
      <c r="B53" s="4" t="s">
        <v>64</v>
      </c>
      <c r="C53" s="4" t="s">
        <v>65</v>
      </c>
      <c r="D53" s="4" t="s">
        <v>9</v>
      </c>
      <c r="E53" s="4">
        <v>1</v>
      </c>
      <c r="F53" s="4">
        <v>45000</v>
      </c>
      <c r="G53" s="14">
        <v>45669</v>
      </c>
      <c r="H53" s="4">
        <v>45000</v>
      </c>
      <c r="I53" s="4" t="s">
        <v>64</v>
      </c>
      <c r="J53" s="6">
        <f t="shared" si="3"/>
        <v>45000</v>
      </c>
    </row>
    <row r="54" spans="1:10" x14ac:dyDescent="0.25">
      <c r="A54" s="5">
        <v>305</v>
      </c>
      <c r="B54" s="4" t="s">
        <v>58</v>
      </c>
      <c r="C54" s="4" t="s">
        <v>59</v>
      </c>
      <c r="D54" s="4" t="s">
        <v>11</v>
      </c>
      <c r="E54" s="4">
        <v>4</v>
      </c>
      <c r="F54" s="4">
        <v>15000</v>
      </c>
      <c r="G54" s="14">
        <v>45672</v>
      </c>
      <c r="H54" s="4">
        <v>60000</v>
      </c>
      <c r="I54" s="4"/>
      <c r="J54" s="6">
        <f t="shared" si="3"/>
        <v>0</v>
      </c>
    </row>
    <row r="55" spans="1:10" x14ac:dyDescent="0.25">
      <c r="A55" s="9">
        <v>306</v>
      </c>
      <c r="B55" s="12" t="s">
        <v>60</v>
      </c>
      <c r="C55" s="12" t="s">
        <v>61</v>
      </c>
      <c r="D55" s="12" t="s">
        <v>9</v>
      </c>
      <c r="E55" s="12">
        <v>2</v>
      </c>
      <c r="F55" s="12">
        <v>45000</v>
      </c>
      <c r="G55" s="15">
        <v>45675</v>
      </c>
      <c r="H55" s="12">
        <v>90000</v>
      </c>
      <c r="I55" s="12"/>
      <c r="J55" s="10">
        <f t="shared" si="3"/>
        <v>0</v>
      </c>
    </row>
    <row r="58" spans="1:10" ht="21" x14ac:dyDescent="0.25">
      <c r="G58" s="35" t="s">
        <v>28</v>
      </c>
      <c r="H58" s="35"/>
      <c r="I58" s="35"/>
      <c r="J58" s="35"/>
    </row>
    <row r="61" spans="1:10" x14ac:dyDescent="0.25">
      <c r="A61" t="s">
        <v>52</v>
      </c>
      <c r="B61" t="s">
        <v>53</v>
      </c>
      <c r="C61" t="s">
        <v>54</v>
      </c>
      <c r="D61" t="s">
        <v>6</v>
      </c>
      <c r="E61" t="s">
        <v>55</v>
      </c>
      <c r="F61" t="s">
        <v>56</v>
      </c>
      <c r="G61" s="2" t="s">
        <v>57</v>
      </c>
      <c r="H61" t="s">
        <v>78</v>
      </c>
      <c r="I61" t="s">
        <v>97</v>
      </c>
    </row>
    <row r="62" spans="1:10" x14ac:dyDescent="0.25">
      <c r="A62">
        <v>301</v>
      </c>
      <c r="B62" t="s">
        <v>58</v>
      </c>
      <c r="C62" t="s">
        <v>59</v>
      </c>
      <c r="D62" t="s">
        <v>9</v>
      </c>
      <c r="E62">
        <v>2</v>
      </c>
      <c r="F62">
        <v>45000</v>
      </c>
      <c r="G62" s="2">
        <v>45662</v>
      </c>
      <c r="H62" t="str">
        <f t="shared" ref="H62:H67" si="4">IF(E62&gt;=3,"High","Low")</f>
        <v>Low</v>
      </c>
      <c r="I62" t="str" cm="1">
        <f t="array" ref="I62">_xlfn.IFS(E62&gt;3,"high",E62&lt;=3,"Low")</f>
        <v>Low</v>
      </c>
    </row>
    <row r="63" spans="1:10" x14ac:dyDescent="0.25">
      <c r="A63">
        <v>302</v>
      </c>
      <c r="B63" t="s">
        <v>60</v>
      </c>
      <c r="C63" t="s">
        <v>61</v>
      </c>
      <c r="D63" t="s">
        <v>11</v>
      </c>
      <c r="E63">
        <v>5</v>
      </c>
      <c r="F63">
        <v>15000</v>
      </c>
      <c r="G63" s="2">
        <v>45664</v>
      </c>
      <c r="H63" t="str">
        <f t="shared" si="4"/>
        <v>High</v>
      </c>
      <c r="I63" t="str" cm="1">
        <f t="array" ref="I63">_xlfn.IFS(E63&gt;3,"high",E63&lt;=3,"Low")</f>
        <v>high</v>
      </c>
    </row>
    <row r="64" spans="1:10" x14ac:dyDescent="0.25">
      <c r="A64">
        <v>303</v>
      </c>
      <c r="B64" t="s">
        <v>62</v>
      </c>
      <c r="C64" t="s">
        <v>63</v>
      </c>
      <c r="D64" t="s">
        <v>12</v>
      </c>
      <c r="E64">
        <v>3</v>
      </c>
      <c r="F64">
        <v>18000</v>
      </c>
      <c r="G64" s="2">
        <v>45667</v>
      </c>
      <c r="H64" t="str">
        <f t="shared" si="4"/>
        <v>High</v>
      </c>
      <c r="I64" t="str" cm="1">
        <f t="array" ref="I64">_xlfn.IFS(E64&gt;3,"high",E64&lt;=3,"Low")</f>
        <v>Low</v>
      </c>
    </row>
    <row r="65" spans="1:10" x14ac:dyDescent="0.25">
      <c r="A65">
        <v>304</v>
      </c>
      <c r="B65" t="s">
        <v>64</v>
      </c>
      <c r="C65" t="s">
        <v>65</v>
      </c>
      <c r="D65" t="s">
        <v>9</v>
      </c>
      <c r="E65">
        <v>1</v>
      </c>
      <c r="F65">
        <v>45000</v>
      </c>
      <c r="G65" s="2">
        <v>45669</v>
      </c>
      <c r="H65" t="str">
        <f t="shared" si="4"/>
        <v>Low</v>
      </c>
      <c r="I65" t="str" cm="1">
        <f t="array" ref="I65">_xlfn.IFS(E65&gt;3,"high",E65&lt;=3,"Low")</f>
        <v>Low</v>
      </c>
    </row>
    <row r="66" spans="1:10" x14ac:dyDescent="0.25">
      <c r="A66">
        <v>305</v>
      </c>
      <c r="B66" t="s">
        <v>58</v>
      </c>
      <c r="C66" t="s">
        <v>59</v>
      </c>
      <c r="D66" t="s">
        <v>11</v>
      </c>
      <c r="E66">
        <v>4</v>
      </c>
      <c r="F66">
        <v>15000</v>
      </c>
      <c r="G66" s="2">
        <v>45672</v>
      </c>
      <c r="H66" t="str">
        <f t="shared" si="4"/>
        <v>High</v>
      </c>
      <c r="I66" t="str" cm="1">
        <f t="array" ref="I66">_xlfn.IFS(E66&gt;3,"high",E66&lt;=3,"Low")</f>
        <v>high</v>
      </c>
    </row>
    <row r="67" spans="1:10" x14ac:dyDescent="0.25">
      <c r="A67">
        <v>306</v>
      </c>
      <c r="B67" t="s">
        <v>60</v>
      </c>
      <c r="C67" t="s">
        <v>61</v>
      </c>
      <c r="D67" t="s">
        <v>9</v>
      </c>
      <c r="E67">
        <v>2</v>
      </c>
      <c r="F67">
        <v>45000</v>
      </c>
      <c r="G67" s="2">
        <v>45675</v>
      </c>
      <c r="H67" t="str">
        <f t="shared" si="4"/>
        <v>Low</v>
      </c>
      <c r="I67" t="str" cm="1">
        <f t="array" ref="I67">_xlfn.IFS(E67&gt;3,"high",E67&lt;=3,"Low")</f>
        <v>Low</v>
      </c>
    </row>
    <row r="69" spans="1:10" ht="21" x14ac:dyDescent="0.25">
      <c r="G69" s="35" t="s">
        <v>29</v>
      </c>
      <c r="H69" s="35"/>
      <c r="I69" s="35"/>
      <c r="J69" s="35"/>
    </row>
    <row r="72" spans="1:10" ht="18.75" x14ac:dyDescent="0.25">
      <c r="A72" t="s">
        <v>52</v>
      </c>
      <c r="B72" t="s">
        <v>53</v>
      </c>
      <c r="C72" t="s">
        <v>54</v>
      </c>
      <c r="D72" t="s">
        <v>6</v>
      </c>
      <c r="E72" t="s">
        <v>55</v>
      </c>
      <c r="F72" t="s">
        <v>56</v>
      </c>
      <c r="G72" s="2" t="s">
        <v>57</v>
      </c>
      <c r="H72" t="s">
        <v>82</v>
      </c>
      <c r="J72" s="22" t="s">
        <v>98</v>
      </c>
    </row>
    <row r="73" spans="1:10" ht="18.75" x14ac:dyDescent="0.25">
      <c r="A73">
        <v>301</v>
      </c>
      <c r="B73" t="s">
        <v>58</v>
      </c>
      <c r="C73" t="s">
        <v>59</v>
      </c>
      <c r="D73" t="s">
        <v>9</v>
      </c>
      <c r="E73">
        <v>2</v>
      </c>
      <c r="F73">
        <v>45000</v>
      </c>
      <c r="G73" s="2">
        <v>45662</v>
      </c>
      <c r="H73">
        <f t="shared" ref="H73:H78" si="5">H4+D15</f>
        <v>106200</v>
      </c>
      <c r="J73" s="22">
        <f>MAX(H73:H78)</f>
        <v>106200</v>
      </c>
    </row>
    <row r="74" spans="1:10" ht="18.75" x14ac:dyDescent="0.25">
      <c r="A74">
        <v>302</v>
      </c>
      <c r="B74" t="s">
        <v>60</v>
      </c>
      <c r="C74" t="s">
        <v>61</v>
      </c>
      <c r="D74" t="s">
        <v>11</v>
      </c>
      <c r="E74">
        <v>5</v>
      </c>
      <c r="F74">
        <v>15000</v>
      </c>
      <c r="G74" s="2">
        <v>45664</v>
      </c>
      <c r="H74">
        <f t="shared" si="5"/>
        <v>84000</v>
      </c>
      <c r="J74" s="21"/>
    </row>
    <row r="75" spans="1:10" ht="18.75" x14ac:dyDescent="0.25">
      <c r="A75">
        <v>303</v>
      </c>
      <c r="B75" t="s">
        <v>62</v>
      </c>
      <c r="C75" t="s">
        <v>63</v>
      </c>
      <c r="D75" t="s">
        <v>12</v>
      </c>
      <c r="E75">
        <v>3</v>
      </c>
      <c r="F75">
        <v>18000</v>
      </c>
      <c r="G75" s="2">
        <v>45667</v>
      </c>
      <c r="H75">
        <f t="shared" si="5"/>
        <v>60480</v>
      </c>
      <c r="J75" s="21"/>
    </row>
    <row r="76" spans="1:10" ht="18.75" x14ac:dyDescent="0.25">
      <c r="A76">
        <v>304</v>
      </c>
      <c r="B76" t="s">
        <v>64</v>
      </c>
      <c r="C76" t="s">
        <v>65</v>
      </c>
      <c r="D76" t="s">
        <v>9</v>
      </c>
      <c r="E76">
        <v>1</v>
      </c>
      <c r="F76">
        <v>45000</v>
      </c>
      <c r="G76" s="2">
        <v>45669</v>
      </c>
      <c r="H76">
        <f t="shared" si="5"/>
        <v>45000</v>
      </c>
      <c r="J76" s="22" t="s">
        <v>99</v>
      </c>
    </row>
    <row r="77" spans="1:10" ht="18.75" x14ac:dyDescent="0.25">
      <c r="A77">
        <v>305</v>
      </c>
      <c r="B77" t="s">
        <v>58</v>
      </c>
      <c r="C77" t="s">
        <v>59</v>
      </c>
      <c r="D77" t="s">
        <v>11</v>
      </c>
      <c r="E77">
        <v>4</v>
      </c>
      <c r="F77">
        <v>15000</v>
      </c>
      <c r="G77" s="2">
        <v>45672</v>
      </c>
      <c r="H77">
        <f t="shared" si="5"/>
        <v>60000</v>
      </c>
      <c r="J77" s="22">
        <f>MIN(Sales_Data20[Final Amt])</f>
        <v>45000</v>
      </c>
    </row>
    <row r="78" spans="1:10" x14ac:dyDescent="0.25">
      <c r="A78">
        <v>306</v>
      </c>
      <c r="B78" t="s">
        <v>60</v>
      </c>
      <c r="C78" t="s">
        <v>61</v>
      </c>
      <c r="D78" t="s">
        <v>9</v>
      </c>
      <c r="E78">
        <v>2</v>
      </c>
      <c r="F78">
        <v>45000</v>
      </c>
      <c r="G78" s="2">
        <v>45675</v>
      </c>
      <c r="H78">
        <f t="shared" si="5"/>
        <v>90000</v>
      </c>
    </row>
    <row r="81" spans="1:10" ht="21" x14ac:dyDescent="0.25">
      <c r="G81" s="35" t="s">
        <v>30</v>
      </c>
      <c r="H81" s="35"/>
      <c r="I81" s="35"/>
      <c r="J81" s="35"/>
    </row>
    <row r="83" spans="1:10" x14ac:dyDescent="0.25">
      <c r="A83" t="s">
        <v>52</v>
      </c>
      <c r="B83" t="s">
        <v>53</v>
      </c>
      <c r="C83" t="s">
        <v>54</v>
      </c>
      <c r="D83" t="s">
        <v>6</v>
      </c>
      <c r="E83" t="s">
        <v>55</v>
      </c>
      <c r="F83" t="s">
        <v>56</v>
      </c>
      <c r="G83" s="2" t="s">
        <v>57</v>
      </c>
      <c r="H83" t="s">
        <v>100</v>
      </c>
    </row>
    <row r="84" spans="1:10" x14ac:dyDescent="0.25">
      <c r="A84">
        <v>301</v>
      </c>
      <c r="B84" t="s">
        <v>58</v>
      </c>
      <c r="C84" t="s">
        <v>59</v>
      </c>
      <c r="D84" t="s">
        <v>9</v>
      </c>
      <c r="E84">
        <v>2</v>
      </c>
      <c r="F84">
        <v>45000</v>
      </c>
      <c r="G84" s="2">
        <v>45662</v>
      </c>
      <c r="H84" t="str">
        <f t="shared" ref="H84:H89" si="6">TEXT(G84,"mmmm")</f>
        <v>January</v>
      </c>
    </row>
    <row r="85" spans="1:10" x14ac:dyDescent="0.25">
      <c r="A85">
        <v>302</v>
      </c>
      <c r="B85" t="s">
        <v>60</v>
      </c>
      <c r="C85" t="s">
        <v>61</v>
      </c>
      <c r="D85" t="s">
        <v>11</v>
      </c>
      <c r="E85">
        <v>5</v>
      </c>
      <c r="F85">
        <v>15000</v>
      </c>
      <c r="G85" s="2">
        <v>45664</v>
      </c>
      <c r="H85" t="str">
        <f t="shared" si="6"/>
        <v>January</v>
      </c>
    </row>
    <row r="86" spans="1:10" x14ac:dyDescent="0.25">
      <c r="A86">
        <v>303</v>
      </c>
      <c r="B86" t="s">
        <v>62</v>
      </c>
      <c r="C86" t="s">
        <v>63</v>
      </c>
      <c r="D86" t="s">
        <v>12</v>
      </c>
      <c r="E86">
        <v>3</v>
      </c>
      <c r="F86">
        <v>18000</v>
      </c>
      <c r="G86" s="2">
        <v>45667</v>
      </c>
      <c r="H86" t="str">
        <f t="shared" si="6"/>
        <v>January</v>
      </c>
    </row>
    <row r="87" spans="1:10" x14ac:dyDescent="0.25">
      <c r="A87">
        <v>304</v>
      </c>
      <c r="B87" t="s">
        <v>64</v>
      </c>
      <c r="C87" t="s">
        <v>65</v>
      </c>
      <c r="D87" t="s">
        <v>9</v>
      </c>
      <c r="E87">
        <v>1</v>
      </c>
      <c r="F87">
        <v>45000</v>
      </c>
      <c r="G87" s="2">
        <v>45669</v>
      </c>
      <c r="H87" t="str">
        <f t="shared" si="6"/>
        <v>January</v>
      </c>
    </row>
    <row r="88" spans="1:10" x14ac:dyDescent="0.25">
      <c r="A88">
        <v>305</v>
      </c>
      <c r="B88" t="s">
        <v>58</v>
      </c>
      <c r="C88" t="s">
        <v>59</v>
      </c>
      <c r="D88" t="s">
        <v>11</v>
      </c>
      <c r="E88">
        <v>4</v>
      </c>
      <c r="F88">
        <v>15000</v>
      </c>
      <c r="G88" s="2">
        <v>45672</v>
      </c>
      <c r="H88" t="str">
        <f t="shared" si="6"/>
        <v>January</v>
      </c>
    </row>
    <row r="89" spans="1:10" x14ac:dyDescent="0.25">
      <c r="A89">
        <v>306</v>
      </c>
      <c r="B89" t="s">
        <v>60</v>
      </c>
      <c r="C89" t="s">
        <v>61</v>
      </c>
      <c r="D89" t="s">
        <v>9</v>
      </c>
      <c r="E89">
        <v>2</v>
      </c>
      <c r="F89">
        <v>45000</v>
      </c>
      <c r="G89" s="2">
        <v>45675</v>
      </c>
      <c r="H89" t="str">
        <f t="shared" si="6"/>
        <v>January</v>
      </c>
    </row>
    <row r="92" spans="1:10" ht="21" x14ac:dyDescent="0.25">
      <c r="G92" s="35" t="s">
        <v>31</v>
      </c>
      <c r="H92" s="35"/>
      <c r="I92" s="35"/>
      <c r="J92" s="35"/>
    </row>
    <row r="97" spans="1:10" x14ac:dyDescent="0.25">
      <c r="A97" s="7" t="s">
        <v>52</v>
      </c>
      <c r="B97" s="11" t="s">
        <v>53</v>
      </c>
      <c r="C97" s="11" t="s">
        <v>54</v>
      </c>
      <c r="D97" s="11" t="s">
        <v>6</v>
      </c>
      <c r="E97" s="11" t="s">
        <v>55</v>
      </c>
      <c r="F97" s="11" t="s">
        <v>56</v>
      </c>
      <c r="G97" s="13" t="s">
        <v>57</v>
      </c>
      <c r="H97" s="8" t="s">
        <v>82</v>
      </c>
    </row>
    <row r="98" spans="1:10" x14ac:dyDescent="0.25">
      <c r="A98" s="5">
        <v>305</v>
      </c>
      <c r="B98" s="4" t="s">
        <v>58</v>
      </c>
      <c r="C98" s="4" t="s">
        <v>59</v>
      </c>
      <c r="D98" s="4" t="s">
        <v>11</v>
      </c>
      <c r="E98" s="4">
        <v>4</v>
      </c>
      <c r="F98" s="4">
        <v>15000</v>
      </c>
      <c r="G98" s="14">
        <v>45672</v>
      </c>
      <c r="H98" s="6">
        <v>106200</v>
      </c>
    </row>
    <row r="99" spans="1:10" x14ac:dyDescent="0.25">
      <c r="A99" s="5">
        <v>301</v>
      </c>
      <c r="B99" s="4" t="s">
        <v>58</v>
      </c>
      <c r="C99" s="4" t="s">
        <v>59</v>
      </c>
      <c r="D99" s="4" t="s">
        <v>9</v>
      </c>
      <c r="E99" s="4">
        <v>2</v>
      </c>
      <c r="F99" s="4">
        <v>45000</v>
      </c>
      <c r="G99" s="14">
        <v>45662</v>
      </c>
      <c r="H99" s="6">
        <v>90000</v>
      </c>
    </row>
    <row r="100" spans="1:10" x14ac:dyDescent="0.25">
      <c r="A100" s="5">
        <v>302</v>
      </c>
      <c r="B100" s="4" t="s">
        <v>60</v>
      </c>
      <c r="C100" s="4" t="s">
        <v>61</v>
      </c>
      <c r="D100" s="4" t="s">
        <v>11</v>
      </c>
      <c r="E100" s="4">
        <v>5</v>
      </c>
      <c r="F100" s="4">
        <v>15000</v>
      </c>
      <c r="G100" s="14">
        <v>45664</v>
      </c>
      <c r="H100" s="6">
        <v>84000</v>
      </c>
    </row>
    <row r="101" spans="1:10" x14ac:dyDescent="0.25">
      <c r="A101" s="5">
        <v>303</v>
      </c>
      <c r="B101" s="4" t="s">
        <v>62</v>
      </c>
      <c r="C101" s="4" t="s">
        <v>63</v>
      </c>
      <c r="D101" s="4" t="s">
        <v>12</v>
      </c>
      <c r="E101" s="4">
        <v>3</v>
      </c>
      <c r="F101" s="4">
        <v>18000</v>
      </c>
      <c r="G101" s="14">
        <v>45667</v>
      </c>
      <c r="H101" s="6">
        <v>60480</v>
      </c>
    </row>
    <row r="102" spans="1:10" x14ac:dyDescent="0.25">
      <c r="A102" s="5">
        <v>304</v>
      </c>
      <c r="B102" s="4" t="s">
        <v>64</v>
      </c>
      <c r="C102" s="4" t="s">
        <v>65</v>
      </c>
      <c r="D102" s="4" t="s">
        <v>9</v>
      </c>
      <c r="E102" s="4">
        <v>1</v>
      </c>
      <c r="F102" s="4">
        <v>45000</v>
      </c>
      <c r="G102" s="14">
        <v>45669</v>
      </c>
      <c r="H102" s="6">
        <v>60000</v>
      </c>
    </row>
    <row r="103" spans="1:10" x14ac:dyDescent="0.25">
      <c r="A103" s="9">
        <v>306</v>
      </c>
      <c r="B103" s="12" t="s">
        <v>60</v>
      </c>
      <c r="C103" s="12" t="s">
        <v>61</v>
      </c>
      <c r="D103" s="12" t="s">
        <v>9</v>
      </c>
      <c r="E103" s="12">
        <v>2</v>
      </c>
      <c r="F103" s="12">
        <v>45000</v>
      </c>
      <c r="G103" s="15">
        <v>45675</v>
      </c>
      <c r="H103" s="10">
        <v>45000</v>
      </c>
    </row>
    <row r="106" spans="1:10" ht="21" x14ac:dyDescent="0.25">
      <c r="G106" s="35" t="s">
        <v>32</v>
      </c>
      <c r="H106" s="35"/>
      <c r="I106" s="35"/>
      <c r="J106" s="35"/>
    </row>
    <row r="109" spans="1:10" x14ac:dyDescent="0.25">
      <c r="A109" t="s">
        <v>6</v>
      </c>
      <c r="B109" t="s">
        <v>7</v>
      </c>
      <c r="C109" t="s">
        <v>8</v>
      </c>
      <c r="D109" t="s">
        <v>101</v>
      </c>
    </row>
    <row r="110" spans="1:10" x14ac:dyDescent="0.25">
      <c r="A110" t="s">
        <v>9</v>
      </c>
      <c r="B110" t="s">
        <v>10</v>
      </c>
      <c r="C110">
        <v>18</v>
      </c>
      <c r="D110" t="str">
        <f t="shared" ref="D110:D112" si="7">INDEX($B$110:$B$112,MATCH(A110,$A$110:$A$112,0))</f>
        <v>Electronics</v>
      </c>
    </row>
    <row r="111" spans="1:10" x14ac:dyDescent="0.25">
      <c r="A111" t="s">
        <v>11</v>
      </c>
      <c r="B111" t="s">
        <v>10</v>
      </c>
      <c r="C111">
        <v>12</v>
      </c>
      <c r="D111" t="str">
        <f t="shared" si="7"/>
        <v>Electronics</v>
      </c>
    </row>
    <row r="112" spans="1:10" x14ac:dyDescent="0.25">
      <c r="A112" t="s">
        <v>12</v>
      </c>
      <c r="B112" t="s">
        <v>10</v>
      </c>
      <c r="C112">
        <v>12</v>
      </c>
      <c r="D112" t="str">
        <f t="shared" si="7"/>
        <v>Electronics</v>
      </c>
    </row>
    <row r="115" spans="1:10" ht="21" x14ac:dyDescent="0.25">
      <c r="G115" s="35" t="s">
        <v>33</v>
      </c>
      <c r="H115" s="35"/>
      <c r="I115" s="35"/>
      <c r="J115" s="35"/>
    </row>
    <row r="118" spans="1:10" x14ac:dyDescent="0.25">
      <c r="A118" t="s">
        <v>66</v>
      </c>
      <c r="B118" t="s">
        <v>67</v>
      </c>
      <c r="C118" t="s">
        <v>68</v>
      </c>
      <c r="D118" t="s">
        <v>69</v>
      </c>
      <c r="E118" t="s">
        <v>70</v>
      </c>
      <c r="F118" t="s">
        <v>71</v>
      </c>
      <c r="G118" t="s">
        <v>79</v>
      </c>
    </row>
    <row r="119" spans="1:10" x14ac:dyDescent="0.25">
      <c r="A119">
        <v>1</v>
      </c>
      <c r="B119" t="s">
        <v>72</v>
      </c>
      <c r="C119">
        <v>78</v>
      </c>
      <c r="D119">
        <v>82</v>
      </c>
      <c r="E119">
        <v>85</v>
      </c>
      <c r="F119">
        <v>92</v>
      </c>
      <c r="G119">
        <f>AVERAGE(Student_Marks30[[#This Row],[Maths]:[Attendance_%]])</f>
        <v>84.25</v>
      </c>
    </row>
    <row r="120" spans="1:10" x14ac:dyDescent="0.25">
      <c r="A120">
        <v>2</v>
      </c>
      <c r="B120" t="s">
        <v>73</v>
      </c>
      <c r="C120">
        <v>88</v>
      </c>
      <c r="D120">
        <v>91</v>
      </c>
      <c r="E120">
        <v>90</v>
      </c>
      <c r="F120">
        <v>96</v>
      </c>
      <c r="G120">
        <f>AVERAGE(Student_Marks30[[#This Row],[Maths]:[Attendance_%]])</f>
        <v>91.25</v>
      </c>
    </row>
    <row r="121" spans="1:10" x14ac:dyDescent="0.25">
      <c r="A121">
        <v>3</v>
      </c>
      <c r="B121" t="s">
        <v>74</v>
      </c>
      <c r="C121">
        <v>65</v>
      </c>
      <c r="D121">
        <v>70</v>
      </c>
      <c r="E121">
        <v>72</v>
      </c>
      <c r="F121">
        <v>85</v>
      </c>
      <c r="G121">
        <f>AVERAGE(Student_Marks30[[#This Row],[Maths]:[Attendance_%]])</f>
        <v>73</v>
      </c>
    </row>
    <row r="122" spans="1:10" x14ac:dyDescent="0.25">
      <c r="A122">
        <v>4</v>
      </c>
      <c r="B122" t="s">
        <v>75</v>
      </c>
      <c r="C122">
        <v>92</v>
      </c>
      <c r="D122">
        <v>89</v>
      </c>
      <c r="E122">
        <v>94</v>
      </c>
      <c r="F122">
        <v>98</v>
      </c>
      <c r="G122">
        <f>AVERAGE(Student_Marks30[[#This Row],[Maths]:[Attendance_%]])</f>
        <v>93.25</v>
      </c>
    </row>
    <row r="123" spans="1:10" x14ac:dyDescent="0.25">
      <c r="A123">
        <v>5</v>
      </c>
      <c r="B123" t="s">
        <v>76</v>
      </c>
      <c r="C123">
        <v>55</v>
      </c>
      <c r="D123">
        <v>60</v>
      </c>
      <c r="E123">
        <v>58</v>
      </c>
      <c r="F123">
        <v>80</v>
      </c>
      <c r="G123">
        <f>AVERAGE(Student_Marks30[[#This Row],[Maths]:[Attendance_%]])</f>
        <v>63.25</v>
      </c>
    </row>
    <row r="126" spans="1:10" ht="21" x14ac:dyDescent="0.25">
      <c r="G126" s="35" t="s">
        <v>34</v>
      </c>
      <c r="H126" s="35"/>
      <c r="I126" s="35"/>
      <c r="J126" s="35"/>
    </row>
    <row r="129" spans="1:10" x14ac:dyDescent="0.25">
      <c r="A129" t="s">
        <v>66</v>
      </c>
      <c r="B129" t="s">
        <v>67</v>
      </c>
      <c r="C129" t="s">
        <v>68</v>
      </c>
      <c r="D129" t="s">
        <v>69</v>
      </c>
      <c r="E129" t="s">
        <v>70</v>
      </c>
      <c r="F129" t="s">
        <v>71</v>
      </c>
      <c r="G129" t="s">
        <v>83</v>
      </c>
      <c r="H129" t="s">
        <v>102</v>
      </c>
    </row>
    <row r="130" spans="1:10" x14ac:dyDescent="0.25">
      <c r="A130">
        <v>1</v>
      </c>
      <c r="B130" t="s">
        <v>72</v>
      </c>
      <c r="C130">
        <v>78</v>
      </c>
      <c r="D130">
        <v>82</v>
      </c>
      <c r="E130">
        <v>85</v>
      </c>
      <c r="F130">
        <v>92</v>
      </c>
      <c r="G130">
        <f>AVERAGE(Student_Marks31[[#This Row],[Maths]:[Attendance_%]])</f>
        <v>84.25</v>
      </c>
      <c r="H130" t="str">
        <f t="shared" ref="H130:H134" si="8">INDEX(B130:B134,MATCH(MAX(G130:G134),G130:G134,0))</f>
        <v>Pooja</v>
      </c>
    </row>
    <row r="131" spans="1:10" x14ac:dyDescent="0.25">
      <c r="A131">
        <v>2</v>
      </c>
      <c r="B131" t="s">
        <v>73</v>
      </c>
      <c r="C131">
        <v>88</v>
      </c>
      <c r="D131">
        <v>91</v>
      </c>
      <c r="E131">
        <v>90</v>
      </c>
      <c r="F131">
        <v>96</v>
      </c>
      <c r="G131">
        <f>AVERAGE(Student_Marks31[[#This Row],[Maths]:[Attendance_%]])</f>
        <v>91.25</v>
      </c>
      <c r="H131" t="str">
        <f t="shared" si="8"/>
        <v>Pooja</v>
      </c>
    </row>
    <row r="132" spans="1:10" x14ac:dyDescent="0.25">
      <c r="A132">
        <v>3</v>
      </c>
      <c r="B132" t="s">
        <v>74</v>
      </c>
      <c r="C132">
        <v>65</v>
      </c>
      <c r="D132">
        <v>70</v>
      </c>
      <c r="E132">
        <v>72</v>
      </c>
      <c r="F132">
        <v>85</v>
      </c>
      <c r="G132">
        <f>AVERAGE(Student_Marks31[[#This Row],[Maths]:[Attendance_%]])</f>
        <v>73</v>
      </c>
      <c r="H132" t="str">
        <f t="shared" si="8"/>
        <v>Pooja</v>
      </c>
    </row>
    <row r="133" spans="1:10" x14ac:dyDescent="0.25">
      <c r="A133">
        <v>4</v>
      </c>
      <c r="B133" t="s">
        <v>75</v>
      </c>
      <c r="C133">
        <v>92</v>
      </c>
      <c r="D133">
        <v>89</v>
      </c>
      <c r="E133">
        <v>94</v>
      </c>
      <c r="F133">
        <v>98</v>
      </c>
      <c r="G133">
        <f>AVERAGE(Student_Marks31[[#This Row],[Maths]:[Attendance_%]])</f>
        <v>93.25</v>
      </c>
      <c r="H133" t="str">
        <f t="shared" si="8"/>
        <v>Pooja</v>
      </c>
    </row>
    <row r="134" spans="1:10" x14ac:dyDescent="0.25">
      <c r="A134">
        <v>5</v>
      </c>
      <c r="B134" t="s">
        <v>76</v>
      </c>
      <c r="C134">
        <v>55</v>
      </c>
      <c r="D134">
        <v>60</v>
      </c>
      <c r="E134">
        <v>58</v>
      </c>
      <c r="F134">
        <v>80</v>
      </c>
      <c r="G134">
        <f>AVERAGE(Student_Marks31[[#This Row],[Maths]:[Attendance_%]])</f>
        <v>63.25</v>
      </c>
      <c r="H134" t="str">
        <f t="shared" si="8"/>
        <v>Vikas</v>
      </c>
    </row>
    <row r="138" spans="1:10" ht="21" x14ac:dyDescent="0.25">
      <c r="G138" s="35" t="s">
        <v>35</v>
      </c>
      <c r="H138" s="35"/>
      <c r="I138" s="35"/>
      <c r="J138" s="35"/>
    </row>
    <row r="141" spans="1:10" x14ac:dyDescent="0.25">
      <c r="A141" t="s">
        <v>66</v>
      </c>
      <c r="B141" t="s">
        <v>67</v>
      </c>
      <c r="C141" t="s">
        <v>68</v>
      </c>
      <c r="D141" t="s">
        <v>69</v>
      </c>
      <c r="E141" t="s">
        <v>70</v>
      </c>
      <c r="F141" t="s">
        <v>71</v>
      </c>
      <c r="G141" t="s">
        <v>103</v>
      </c>
    </row>
    <row r="142" spans="1:10" x14ac:dyDescent="0.25">
      <c r="A142">
        <v>1</v>
      </c>
      <c r="B142" t="s">
        <v>72</v>
      </c>
      <c r="C142">
        <v>78</v>
      </c>
      <c r="D142">
        <v>82</v>
      </c>
      <c r="E142">
        <v>85</v>
      </c>
      <c r="F142">
        <v>92</v>
      </c>
      <c r="G142">
        <f t="shared" ref="G142:G146" si="9">COUNTIF(F142:F146,"&gt;90")</f>
        <v>3</v>
      </c>
    </row>
    <row r="143" spans="1:10" x14ac:dyDescent="0.25">
      <c r="A143">
        <v>2</v>
      </c>
      <c r="B143" t="s">
        <v>73</v>
      </c>
      <c r="C143">
        <v>88</v>
      </c>
      <c r="D143">
        <v>91</v>
      </c>
      <c r="E143">
        <v>90</v>
      </c>
      <c r="F143">
        <v>96</v>
      </c>
      <c r="G143">
        <f t="shared" si="9"/>
        <v>2</v>
      </c>
    </row>
    <row r="144" spans="1:10" x14ac:dyDescent="0.25">
      <c r="A144">
        <v>3</v>
      </c>
      <c r="B144" t="s">
        <v>74</v>
      </c>
      <c r="C144">
        <v>65</v>
      </c>
      <c r="D144">
        <v>70</v>
      </c>
      <c r="E144">
        <v>72</v>
      </c>
      <c r="F144">
        <v>85</v>
      </c>
      <c r="G144">
        <f t="shared" si="9"/>
        <v>1</v>
      </c>
    </row>
    <row r="145" spans="1:10" x14ac:dyDescent="0.25">
      <c r="A145">
        <v>4</v>
      </c>
      <c r="B145" t="s">
        <v>75</v>
      </c>
      <c r="C145">
        <v>92</v>
      </c>
      <c r="D145">
        <v>89</v>
      </c>
      <c r="E145">
        <v>94</v>
      </c>
      <c r="F145">
        <v>98</v>
      </c>
      <c r="G145">
        <f t="shared" si="9"/>
        <v>1</v>
      </c>
    </row>
    <row r="146" spans="1:10" x14ac:dyDescent="0.25">
      <c r="A146">
        <v>5</v>
      </c>
      <c r="B146" t="s">
        <v>76</v>
      </c>
      <c r="C146">
        <v>55</v>
      </c>
      <c r="D146">
        <v>60</v>
      </c>
      <c r="E146">
        <v>58</v>
      </c>
      <c r="F146">
        <v>80</v>
      </c>
      <c r="G146">
        <f t="shared" si="9"/>
        <v>0</v>
      </c>
    </row>
    <row r="150" spans="1:10" ht="21" x14ac:dyDescent="0.25">
      <c r="G150" s="35" t="s">
        <v>36</v>
      </c>
      <c r="H150" s="35"/>
      <c r="I150" s="35"/>
      <c r="J150" s="35"/>
    </row>
    <row r="153" spans="1:10" x14ac:dyDescent="0.25">
      <c r="A153" t="s">
        <v>66</v>
      </c>
      <c r="B153" t="s">
        <v>67</v>
      </c>
      <c r="C153" t="s">
        <v>68</v>
      </c>
      <c r="D153" t="s">
        <v>69</v>
      </c>
      <c r="E153" t="s">
        <v>70</v>
      </c>
      <c r="F153" t="s">
        <v>71</v>
      </c>
      <c r="G153" t="s">
        <v>84</v>
      </c>
    </row>
    <row r="154" spans="1:10" x14ac:dyDescent="0.25">
      <c r="A154">
        <v>1</v>
      </c>
      <c r="B154" t="s">
        <v>72</v>
      </c>
      <c r="C154">
        <v>78</v>
      </c>
      <c r="D154">
        <v>82</v>
      </c>
      <c r="E154">
        <v>85</v>
      </c>
      <c r="F154">
        <v>92</v>
      </c>
      <c r="G154" t="str">
        <f t="shared" ref="G154:G158" si="10">IF(F154&gt;=85,"Eligible","not Eligible")</f>
        <v>Eligible</v>
      </c>
    </row>
    <row r="155" spans="1:10" x14ac:dyDescent="0.25">
      <c r="A155">
        <v>2</v>
      </c>
      <c r="B155" t="s">
        <v>73</v>
      </c>
      <c r="C155">
        <v>88</v>
      </c>
      <c r="D155">
        <v>91</v>
      </c>
      <c r="E155">
        <v>90</v>
      </c>
      <c r="F155">
        <v>96</v>
      </c>
      <c r="G155" t="str">
        <f t="shared" si="10"/>
        <v>Eligible</v>
      </c>
    </row>
    <row r="156" spans="1:10" x14ac:dyDescent="0.25">
      <c r="A156">
        <v>3</v>
      </c>
      <c r="B156" t="s">
        <v>74</v>
      </c>
      <c r="C156">
        <v>65</v>
      </c>
      <c r="D156">
        <v>70</v>
      </c>
      <c r="E156">
        <v>72</v>
      </c>
      <c r="F156">
        <v>85</v>
      </c>
      <c r="G156" t="str">
        <f t="shared" si="10"/>
        <v>Eligible</v>
      </c>
    </row>
    <row r="157" spans="1:10" x14ac:dyDescent="0.25">
      <c r="A157">
        <v>4</v>
      </c>
      <c r="B157" t="s">
        <v>75</v>
      </c>
      <c r="C157">
        <v>92</v>
      </c>
      <c r="D157">
        <v>89</v>
      </c>
      <c r="E157">
        <v>94</v>
      </c>
      <c r="F157">
        <v>98</v>
      </c>
      <c r="G157" t="str">
        <f t="shared" si="10"/>
        <v>Eligible</v>
      </c>
    </row>
    <row r="158" spans="1:10" x14ac:dyDescent="0.25">
      <c r="A158">
        <v>5</v>
      </c>
      <c r="B158" t="s">
        <v>76</v>
      </c>
      <c r="C158">
        <v>55</v>
      </c>
      <c r="D158">
        <v>60</v>
      </c>
      <c r="E158">
        <v>58</v>
      </c>
      <c r="F158">
        <v>80</v>
      </c>
      <c r="G158" t="str">
        <f t="shared" si="10"/>
        <v>not Eligible</v>
      </c>
    </row>
    <row r="161" spans="7:10" ht="21" x14ac:dyDescent="0.25">
      <c r="G161" s="35" t="s">
        <v>37</v>
      </c>
      <c r="H161" s="35"/>
      <c r="I161" s="35"/>
      <c r="J161" s="35"/>
    </row>
    <row r="164" spans="7:10" ht="21" x14ac:dyDescent="0.25">
      <c r="G164" s="35" t="s">
        <v>38</v>
      </c>
      <c r="H164" s="35"/>
      <c r="I164" s="35"/>
      <c r="J164" s="35"/>
    </row>
    <row r="167" spans="7:10" ht="21" x14ac:dyDescent="0.25">
      <c r="G167" s="35" t="s">
        <v>39</v>
      </c>
      <c r="H167" s="35"/>
      <c r="I167" s="35"/>
      <c r="J167" s="35"/>
    </row>
    <row r="188" spans="7:10" ht="21" x14ac:dyDescent="0.25">
      <c r="G188" s="35" t="s">
        <v>40</v>
      </c>
      <c r="H188" s="35"/>
      <c r="I188" s="35"/>
      <c r="J188" s="35"/>
    </row>
    <row r="209" spans="1:10" ht="21" x14ac:dyDescent="0.25">
      <c r="G209" s="35" t="s">
        <v>41</v>
      </c>
      <c r="H209" s="35"/>
      <c r="I209" s="35"/>
      <c r="J209" s="35"/>
    </row>
    <row r="213" spans="1:10" ht="18.75" x14ac:dyDescent="0.25">
      <c r="A213" t="s">
        <v>66</v>
      </c>
      <c r="B213" t="s">
        <v>67</v>
      </c>
      <c r="C213" t="s">
        <v>68</v>
      </c>
      <c r="D213" t="s">
        <v>69</v>
      </c>
      <c r="E213" t="s">
        <v>70</v>
      </c>
      <c r="F213" t="s">
        <v>71</v>
      </c>
      <c r="I213" s="23" t="s">
        <v>87</v>
      </c>
    </row>
    <row r="214" spans="1:10" ht="18.75" x14ac:dyDescent="0.25">
      <c r="A214">
        <v>1</v>
      </c>
      <c r="B214" t="s">
        <v>72</v>
      </c>
      <c r="C214">
        <v>78</v>
      </c>
      <c r="D214">
        <v>82</v>
      </c>
      <c r="E214">
        <v>85</v>
      </c>
      <c r="F214">
        <v>92</v>
      </c>
      <c r="I214" s="23">
        <f>MEDIAN(D214:D218)</f>
        <v>82</v>
      </c>
    </row>
    <row r="215" spans="1:10" x14ac:dyDescent="0.25">
      <c r="A215">
        <v>2</v>
      </c>
      <c r="B215" t="s">
        <v>73</v>
      </c>
      <c r="C215">
        <v>88</v>
      </c>
      <c r="D215">
        <v>91</v>
      </c>
      <c r="E215">
        <v>90</v>
      </c>
      <c r="F215">
        <v>96</v>
      </c>
    </row>
    <row r="216" spans="1:10" x14ac:dyDescent="0.25">
      <c r="A216">
        <v>3</v>
      </c>
      <c r="B216" t="s">
        <v>74</v>
      </c>
      <c r="C216">
        <v>65</v>
      </c>
      <c r="D216">
        <v>70</v>
      </c>
      <c r="E216">
        <v>72</v>
      </c>
      <c r="F216">
        <v>85</v>
      </c>
    </row>
    <row r="217" spans="1:10" x14ac:dyDescent="0.25">
      <c r="A217">
        <v>4</v>
      </c>
      <c r="B217" t="s">
        <v>75</v>
      </c>
      <c r="C217">
        <v>92</v>
      </c>
      <c r="D217">
        <v>89</v>
      </c>
      <c r="E217">
        <v>94</v>
      </c>
      <c r="F217">
        <v>98</v>
      </c>
    </row>
    <row r="218" spans="1:10" x14ac:dyDescent="0.25">
      <c r="A218">
        <v>5</v>
      </c>
      <c r="B218" t="s">
        <v>76</v>
      </c>
      <c r="C218">
        <v>55</v>
      </c>
      <c r="D218">
        <v>60</v>
      </c>
      <c r="E218">
        <v>58</v>
      </c>
      <c r="F218">
        <v>80</v>
      </c>
    </row>
    <row r="222" spans="1:10" ht="21" x14ac:dyDescent="0.25">
      <c r="G222" s="35" t="s">
        <v>42</v>
      </c>
      <c r="H222" s="35"/>
      <c r="I222" s="35"/>
      <c r="J222" s="35"/>
    </row>
    <row r="225" spans="1:10" x14ac:dyDescent="0.25">
      <c r="A225" t="s">
        <v>66</v>
      </c>
      <c r="B225" t="s">
        <v>67</v>
      </c>
      <c r="C225" t="s">
        <v>68</v>
      </c>
      <c r="D225" t="s">
        <v>69</v>
      </c>
      <c r="E225" t="s">
        <v>70</v>
      </c>
      <c r="F225" t="s">
        <v>71</v>
      </c>
    </row>
    <row r="226" spans="1:10" x14ac:dyDescent="0.25">
      <c r="A226">
        <v>1</v>
      </c>
      <c r="B226" t="s">
        <v>72</v>
      </c>
      <c r="C226">
        <v>78</v>
      </c>
      <c r="D226">
        <v>82</v>
      </c>
      <c r="E226">
        <v>85</v>
      </c>
      <c r="F226">
        <v>92</v>
      </c>
    </row>
    <row r="227" spans="1:10" ht="18.75" x14ac:dyDescent="0.25">
      <c r="A227">
        <v>2</v>
      </c>
      <c r="B227" t="s">
        <v>73</v>
      </c>
      <c r="C227">
        <v>88</v>
      </c>
      <c r="D227">
        <v>91</v>
      </c>
      <c r="E227">
        <v>90</v>
      </c>
      <c r="F227">
        <v>96</v>
      </c>
      <c r="H227" s="24" t="s">
        <v>88</v>
      </c>
    </row>
    <row r="228" spans="1:10" ht="18.75" x14ac:dyDescent="0.25">
      <c r="A228">
        <v>3</v>
      </c>
      <c r="B228" t="s">
        <v>74</v>
      </c>
      <c r="C228">
        <v>65</v>
      </c>
      <c r="D228">
        <v>70</v>
      </c>
      <c r="E228">
        <v>72</v>
      </c>
      <c r="F228">
        <v>85</v>
      </c>
      <c r="H228" s="24">
        <f>_xlfn.STDEV.P(E226:E230)</f>
        <v>13.181805642627264</v>
      </c>
    </row>
    <row r="229" spans="1:10" x14ac:dyDescent="0.25">
      <c r="A229">
        <v>4</v>
      </c>
      <c r="B229" t="s">
        <v>75</v>
      </c>
      <c r="C229">
        <v>92</v>
      </c>
      <c r="D229">
        <v>89</v>
      </c>
      <c r="E229">
        <v>94</v>
      </c>
      <c r="F229">
        <v>98</v>
      </c>
    </row>
    <row r="230" spans="1:10" x14ac:dyDescent="0.25">
      <c r="A230">
        <v>5</v>
      </c>
      <c r="B230" t="s">
        <v>76</v>
      </c>
      <c r="C230">
        <v>55</v>
      </c>
      <c r="D230">
        <v>60</v>
      </c>
      <c r="E230">
        <v>58</v>
      </c>
      <c r="F230">
        <v>80</v>
      </c>
    </row>
    <row r="234" spans="1:10" ht="21" x14ac:dyDescent="0.25">
      <c r="G234" s="35" t="s">
        <v>43</v>
      </c>
      <c r="H234" s="35"/>
      <c r="I234" s="35"/>
      <c r="J234" s="35"/>
    </row>
    <row r="237" spans="1:10" x14ac:dyDescent="0.25">
      <c r="A237" t="s">
        <v>66</v>
      </c>
      <c r="B237" t="s">
        <v>67</v>
      </c>
      <c r="C237" t="s">
        <v>68</v>
      </c>
      <c r="D237" t="s">
        <v>69</v>
      </c>
      <c r="E237" t="s">
        <v>70</v>
      </c>
      <c r="F237" t="s">
        <v>71</v>
      </c>
      <c r="G237" t="s">
        <v>89</v>
      </c>
    </row>
    <row r="238" spans="1:10" x14ac:dyDescent="0.25">
      <c r="A238">
        <v>1</v>
      </c>
      <c r="B238" t="s">
        <v>72</v>
      </c>
      <c r="C238">
        <v>78</v>
      </c>
      <c r="D238">
        <v>82</v>
      </c>
      <c r="E238">
        <v>85</v>
      </c>
      <c r="F238">
        <v>92</v>
      </c>
      <c r="G238" t="str">
        <f>_xlfn.CONCAT(Student_Marks43[[#This Row],[Student_ID]],Student_Marks43[[#This Row],[Name]])</f>
        <v>1Rahul</v>
      </c>
    </row>
    <row r="239" spans="1:10" x14ac:dyDescent="0.25">
      <c r="A239">
        <v>2</v>
      </c>
      <c r="B239" t="s">
        <v>73</v>
      </c>
      <c r="C239">
        <v>88</v>
      </c>
      <c r="D239">
        <v>91</v>
      </c>
      <c r="E239">
        <v>90</v>
      </c>
      <c r="F239">
        <v>96</v>
      </c>
      <c r="G239" t="str">
        <f>_xlfn.CONCAT(Student_Marks43[[#This Row],[Student_ID]],Student_Marks43[[#This Row],[Name]])</f>
        <v>2Sneha</v>
      </c>
    </row>
    <row r="240" spans="1:10" x14ac:dyDescent="0.25">
      <c r="A240">
        <v>3</v>
      </c>
      <c r="B240" t="s">
        <v>74</v>
      </c>
      <c r="C240">
        <v>65</v>
      </c>
      <c r="D240">
        <v>70</v>
      </c>
      <c r="E240">
        <v>72</v>
      </c>
      <c r="F240">
        <v>85</v>
      </c>
      <c r="G240" t="str">
        <f>_xlfn.CONCAT(Student_Marks43[[#This Row],[Student_ID]],Student_Marks43[[#This Row],[Name]])</f>
        <v>3Arjun</v>
      </c>
    </row>
    <row r="241" spans="1:10" x14ac:dyDescent="0.25">
      <c r="A241">
        <v>4</v>
      </c>
      <c r="B241" t="s">
        <v>75</v>
      </c>
      <c r="C241">
        <v>92</v>
      </c>
      <c r="D241">
        <v>89</v>
      </c>
      <c r="E241">
        <v>94</v>
      </c>
      <c r="F241">
        <v>98</v>
      </c>
      <c r="G241" t="str">
        <f>_xlfn.CONCAT(Student_Marks43[[#This Row],[Student_ID]],Student_Marks43[[#This Row],[Name]])</f>
        <v>4Pooja</v>
      </c>
    </row>
    <row r="242" spans="1:10" x14ac:dyDescent="0.25">
      <c r="A242">
        <v>5</v>
      </c>
      <c r="B242" t="s">
        <v>76</v>
      </c>
      <c r="C242">
        <v>55</v>
      </c>
      <c r="D242">
        <v>60</v>
      </c>
      <c r="E242">
        <v>58</v>
      </c>
      <c r="F242">
        <v>80</v>
      </c>
      <c r="G242" t="str">
        <f>_xlfn.CONCAT(Student_Marks43[[#This Row],[Student_ID]],Student_Marks43[[#This Row],[Name]])</f>
        <v>5Vikas</v>
      </c>
    </row>
    <row r="246" spans="1:10" ht="21" x14ac:dyDescent="0.25">
      <c r="G246" s="35" t="s">
        <v>44</v>
      </c>
      <c r="H246" s="35"/>
      <c r="I246" s="35"/>
      <c r="J246" s="35"/>
    </row>
    <row r="248" spans="1:10" x14ac:dyDescent="0.25">
      <c r="A248" s="27" t="s">
        <v>54</v>
      </c>
      <c r="B248" s="8" t="s">
        <v>90</v>
      </c>
    </row>
    <row r="249" spans="1:10" x14ac:dyDescent="0.25">
      <c r="A249" s="25" t="s">
        <v>59</v>
      </c>
      <c r="B249" s="6" t="str">
        <f>LEFT(A249,2)</f>
        <v>Am</v>
      </c>
    </row>
    <row r="250" spans="1:10" x14ac:dyDescent="0.25">
      <c r="A250" s="26" t="s">
        <v>61</v>
      </c>
      <c r="B250" s="6" t="str">
        <f t="shared" ref="B250:B254" si="11">LEFT(A250,2)</f>
        <v>Ri</v>
      </c>
    </row>
    <row r="251" spans="1:10" x14ac:dyDescent="0.25">
      <c r="A251" s="25" t="s">
        <v>63</v>
      </c>
      <c r="B251" s="6" t="str">
        <f t="shared" si="11"/>
        <v>Ku</v>
      </c>
    </row>
    <row r="252" spans="1:10" x14ac:dyDescent="0.25">
      <c r="A252" s="26" t="s">
        <v>65</v>
      </c>
      <c r="B252" s="6" t="str">
        <f t="shared" si="11"/>
        <v>Ne</v>
      </c>
    </row>
    <row r="253" spans="1:10" x14ac:dyDescent="0.25">
      <c r="A253" s="25" t="s">
        <v>59</v>
      </c>
      <c r="B253" s="6" t="str">
        <f t="shared" si="11"/>
        <v>Am</v>
      </c>
    </row>
    <row r="254" spans="1:10" x14ac:dyDescent="0.25">
      <c r="A254" s="28" t="s">
        <v>61</v>
      </c>
      <c r="B254" s="10" t="str">
        <f t="shared" si="11"/>
        <v>Ri</v>
      </c>
    </row>
    <row r="256" spans="1:10" x14ac:dyDescent="0.25">
      <c r="A256" s="1"/>
    </row>
    <row r="258" spans="1:10" ht="21" x14ac:dyDescent="0.25">
      <c r="G258" s="35" t="s">
        <v>45</v>
      </c>
      <c r="H258" s="35"/>
      <c r="I258" s="35"/>
      <c r="J258" s="35"/>
    </row>
    <row r="262" spans="1:10" x14ac:dyDescent="0.25">
      <c r="A262" s="7" t="s">
        <v>52</v>
      </c>
      <c r="B262" s="11" t="s">
        <v>53</v>
      </c>
      <c r="C262" s="11" t="s">
        <v>54</v>
      </c>
      <c r="D262" s="11" t="s">
        <v>6</v>
      </c>
      <c r="E262" s="11" t="s">
        <v>55</v>
      </c>
      <c r="F262" s="11" t="s">
        <v>56</v>
      </c>
      <c r="G262" s="13" t="s">
        <v>57</v>
      </c>
      <c r="H262" t="s">
        <v>77</v>
      </c>
    </row>
    <row r="263" spans="1:10" x14ac:dyDescent="0.25">
      <c r="A263" s="5">
        <v>301</v>
      </c>
      <c r="B263" s="4" t="s">
        <v>58</v>
      </c>
      <c r="C263" s="4" t="s">
        <v>59</v>
      </c>
      <c r="D263" s="4" t="s">
        <v>9</v>
      </c>
      <c r="E263" s="4">
        <v>2</v>
      </c>
      <c r="F263" s="4">
        <v>45000</v>
      </c>
      <c r="G263" s="14">
        <v>45662</v>
      </c>
      <c r="H263">
        <v>106200</v>
      </c>
    </row>
    <row r="264" spans="1:10" x14ac:dyDescent="0.25">
      <c r="A264" s="5">
        <v>302</v>
      </c>
      <c r="B264" s="4" t="s">
        <v>60</v>
      </c>
      <c r="C264" s="4" t="s">
        <v>61</v>
      </c>
      <c r="D264" s="4" t="s">
        <v>11</v>
      </c>
      <c r="E264" s="4">
        <v>5</v>
      </c>
      <c r="F264" s="4">
        <v>15000</v>
      </c>
      <c r="G264" s="14">
        <v>45664</v>
      </c>
      <c r="H264">
        <v>84000</v>
      </c>
    </row>
    <row r="265" spans="1:10" x14ac:dyDescent="0.25">
      <c r="A265" s="5">
        <v>303</v>
      </c>
      <c r="B265" s="4" t="s">
        <v>62</v>
      </c>
      <c r="C265" s="4" t="s">
        <v>63</v>
      </c>
      <c r="D265" s="4" t="s">
        <v>12</v>
      </c>
      <c r="E265" s="4">
        <v>3</v>
      </c>
      <c r="F265" s="4">
        <v>18000</v>
      </c>
      <c r="G265" s="14">
        <v>45667</v>
      </c>
      <c r="H265">
        <v>60480</v>
      </c>
    </row>
    <row r="266" spans="1:10" x14ac:dyDescent="0.25">
      <c r="A266" s="5">
        <v>304</v>
      </c>
      <c r="B266" s="4" t="s">
        <v>64</v>
      </c>
      <c r="C266" s="4" t="s">
        <v>65</v>
      </c>
      <c r="D266" s="4" t="s">
        <v>9</v>
      </c>
      <c r="E266" s="4">
        <v>1</v>
      </c>
      <c r="F266" s="4">
        <v>45000</v>
      </c>
      <c r="G266" s="14">
        <v>45669</v>
      </c>
      <c r="H266">
        <v>45000</v>
      </c>
    </row>
    <row r="267" spans="1:10" x14ac:dyDescent="0.25">
      <c r="A267" s="5">
        <v>305</v>
      </c>
      <c r="B267" s="4" t="s">
        <v>58</v>
      </c>
      <c r="C267" s="4" t="s">
        <v>59</v>
      </c>
      <c r="D267" s="4" t="s">
        <v>11</v>
      </c>
      <c r="E267" s="4">
        <v>4</v>
      </c>
      <c r="F267" s="4">
        <v>15000</v>
      </c>
      <c r="G267" s="14">
        <v>45672</v>
      </c>
      <c r="H267">
        <v>60000</v>
      </c>
    </row>
    <row r="268" spans="1:10" x14ac:dyDescent="0.25">
      <c r="A268" s="9">
        <v>306</v>
      </c>
      <c r="B268" s="12" t="s">
        <v>60</v>
      </c>
      <c r="C268" s="12" t="s">
        <v>61</v>
      </c>
      <c r="D268" s="12" t="s">
        <v>9</v>
      </c>
      <c r="E268" s="12">
        <v>2</v>
      </c>
      <c r="F268" s="12">
        <v>45000</v>
      </c>
      <c r="G268" s="15">
        <v>45675</v>
      </c>
      <c r="H268">
        <v>90000</v>
      </c>
    </row>
    <row r="272" spans="1:10" ht="21" x14ac:dyDescent="0.25">
      <c r="G272" s="35" t="s">
        <v>46</v>
      </c>
      <c r="H272" s="35"/>
      <c r="I272" s="35"/>
      <c r="J272" s="35"/>
    </row>
    <row r="276" spans="1:10" x14ac:dyDescent="0.25">
      <c r="A276" t="s">
        <v>52</v>
      </c>
      <c r="B276" t="s">
        <v>53</v>
      </c>
      <c r="C276" t="s">
        <v>54</v>
      </c>
      <c r="D276" t="s">
        <v>6</v>
      </c>
      <c r="E276" t="s">
        <v>55</v>
      </c>
      <c r="F276" t="s">
        <v>56</v>
      </c>
      <c r="G276" s="2" t="s">
        <v>57</v>
      </c>
    </row>
    <row r="277" spans="1:10" hidden="1" x14ac:dyDescent="0.25">
      <c r="A277">
        <v>301</v>
      </c>
      <c r="B277" t="s">
        <v>58</v>
      </c>
      <c r="C277" t="s">
        <v>59</v>
      </c>
      <c r="D277" t="s">
        <v>9</v>
      </c>
      <c r="E277">
        <v>2</v>
      </c>
      <c r="F277">
        <v>45000</v>
      </c>
      <c r="G277" s="2">
        <v>45662</v>
      </c>
    </row>
    <row r="278" spans="1:10" hidden="1" x14ac:dyDescent="0.25">
      <c r="A278">
        <v>302</v>
      </c>
      <c r="B278" t="s">
        <v>60</v>
      </c>
      <c r="C278" t="s">
        <v>61</v>
      </c>
      <c r="D278" t="s">
        <v>11</v>
      </c>
      <c r="E278">
        <v>5</v>
      </c>
      <c r="F278">
        <v>15000</v>
      </c>
      <c r="G278" s="2">
        <v>45664</v>
      </c>
    </row>
    <row r="279" spans="1:10" hidden="1" x14ac:dyDescent="0.25">
      <c r="A279">
        <v>303</v>
      </c>
      <c r="B279" t="s">
        <v>62</v>
      </c>
      <c r="C279" t="s">
        <v>63</v>
      </c>
      <c r="D279" t="s">
        <v>12</v>
      </c>
      <c r="E279">
        <v>3</v>
      </c>
      <c r="F279">
        <v>18000</v>
      </c>
      <c r="G279" s="2">
        <v>45667</v>
      </c>
    </row>
    <row r="280" spans="1:10" x14ac:dyDescent="0.25">
      <c r="A280">
        <v>304</v>
      </c>
      <c r="B280" t="s">
        <v>64</v>
      </c>
      <c r="C280" t="s">
        <v>65</v>
      </c>
      <c r="D280" t="s">
        <v>9</v>
      </c>
      <c r="E280">
        <v>1</v>
      </c>
      <c r="F280">
        <v>45000</v>
      </c>
      <c r="G280" s="2">
        <v>45669</v>
      </c>
    </row>
    <row r="281" spans="1:10" hidden="1" x14ac:dyDescent="0.25">
      <c r="A281">
        <v>305</v>
      </c>
      <c r="B281" t="s">
        <v>58</v>
      </c>
      <c r="C281" t="s">
        <v>59</v>
      </c>
      <c r="D281" t="s">
        <v>11</v>
      </c>
      <c r="E281">
        <v>4</v>
      </c>
      <c r="F281">
        <v>15000</v>
      </c>
      <c r="G281" s="2">
        <v>45672</v>
      </c>
    </row>
    <row r="282" spans="1:10" hidden="1" x14ac:dyDescent="0.25">
      <c r="A282">
        <v>306</v>
      </c>
      <c r="B282" t="s">
        <v>60</v>
      </c>
      <c r="C282" t="s">
        <v>61</v>
      </c>
      <c r="D282" t="s">
        <v>9</v>
      </c>
      <c r="E282">
        <v>2</v>
      </c>
      <c r="F282">
        <v>45000</v>
      </c>
      <c r="G282" s="2">
        <v>45675</v>
      </c>
    </row>
    <row r="286" spans="1:10" ht="21" x14ac:dyDescent="0.25">
      <c r="G286" s="35" t="s">
        <v>47</v>
      </c>
      <c r="H286" s="35"/>
      <c r="I286" s="35"/>
      <c r="J286" s="35"/>
    </row>
    <row r="290" spans="1:10" x14ac:dyDescent="0.25">
      <c r="A290" t="s">
        <v>52</v>
      </c>
      <c r="B290" t="s">
        <v>53</v>
      </c>
      <c r="C290" t="s">
        <v>54</v>
      </c>
      <c r="D290" t="s">
        <v>6</v>
      </c>
      <c r="E290" t="s">
        <v>55</v>
      </c>
      <c r="F290" t="s">
        <v>56</v>
      </c>
      <c r="G290" s="2" t="s">
        <v>57</v>
      </c>
      <c r="H290" t="s">
        <v>91</v>
      </c>
    </row>
    <row r="291" spans="1:10" x14ac:dyDescent="0.25">
      <c r="A291">
        <v>301</v>
      </c>
      <c r="B291" t="s">
        <v>58</v>
      </c>
      <c r="C291" t="s">
        <v>59</v>
      </c>
      <c r="D291" t="s">
        <v>9</v>
      </c>
      <c r="E291">
        <v>2</v>
      </c>
      <c r="F291">
        <v>45000</v>
      </c>
      <c r="G291" s="2">
        <v>45662</v>
      </c>
      <c r="H291">
        <f t="shared" ref="H291:H296" si="12">COUNTIFS(B:B,"North",D:D,"Laptop")</f>
        <v>13</v>
      </c>
    </row>
    <row r="292" spans="1:10" x14ac:dyDescent="0.25">
      <c r="A292">
        <v>302</v>
      </c>
      <c r="B292" t="s">
        <v>60</v>
      </c>
      <c r="C292" t="s">
        <v>61</v>
      </c>
      <c r="D292" t="s">
        <v>11</v>
      </c>
      <c r="E292">
        <v>5</v>
      </c>
      <c r="F292">
        <v>15000</v>
      </c>
      <c r="G292" s="2">
        <v>45664</v>
      </c>
      <c r="H292">
        <f t="shared" si="12"/>
        <v>13</v>
      </c>
    </row>
    <row r="293" spans="1:10" x14ac:dyDescent="0.25">
      <c r="A293">
        <v>303</v>
      </c>
      <c r="B293" t="s">
        <v>62</v>
      </c>
      <c r="C293" t="s">
        <v>63</v>
      </c>
      <c r="D293" t="s">
        <v>12</v>
      </c>
      <c r="E293">
        <v>3</v>
      </c>
      <c r="F293">
        <v>18000</v>
      </c>
      <c r="G293" s="2">
        <v>45667</v>
      </c>
      <c r="H293">
        <f t="shared" si="12"/>
        <v>13</v>
      </c>
    </row>
    <row r="294" spans="1:10" x14ac:dyDescent="0.25">
      <c r="A294">
        <v>304</v>
      </c>
      <c r="B294" t="s">
        <v>64</v>
      </c>
      <c r="C294" t="s">
        <v>65</v>
      </c>
      <c r="D294" t="s">
        <v>9</v>
      </c>
      <c r="E294">
        <v>1</v>
      </c>
      <c r="F294">
        <v>45000</v>
      </c>
      <c r="G294" s="2">
        <v>45669</v>
      </c>
      <c r="H294">
        <f t="shared" si="12"/>
        <v>13</v>
      </c>
    </row>
    <row r="295" spans="1:10" x14ac:dyDescent="0.25">
      <c r="A295">
        <v>305</v>
      </c>
      <c r="B295" t="s">
        <v>58</v>
      </c>
      <c r="C295" t="s">
        <v>59</v>
      </c>
      <c r="D295" t="s">
        <v>11</v>
      </c>
      <c r="E295">
        <v>4</v>
      </c>
      <c r="F295">
        <v>15000</v>
      </c>
      <c r="G295" s="2">
        <v>45672</v>
      </c>
      <c r="H295">
        <f t="shared" si="12"/>
        <v>13</v>
      </c>
    </row>
    <row r="296" spans="1:10" x14ac:dyDescent="0.25">
      <c r="A296">
        <v>306</v>
      </c>
      <c r="B296" t="s">
        <v>60</v>
      </c>
      <c r="C296" t="s">
        <v>61</v>
      </c>
      <c r="D296" t="s">
        <v>9</v>
      </c>
      <c r="E296">
        <v>2</v>
      </c>
      <c r="F296">
        <v>45000</v>
      </c>
      <c r="G296" s="2">
        <v>45675</v>
      </c>
      <c r="H296">
        <f t="shared" si="12"/>
        <v>13</v>
      </c>
    </row>
    <row r="299" spans="1:10" ht="21" x14ac:dyDescent="0.25">
      <c r="G299" s="35" t="s">
        <v>48</v>
      </c>
      <c r="H299" s="35"/>
      <c r="I299" s="35"/>
      <c r="J299" s="35"/>
    </row>
    <row r="302" spans="1:10" x14ac:dyDescent="0.25">
      <c r="A302" t="s">
        <v>52</v>
      </c>
      <c r="B302" t="s">
        <v>53</v>
      </c>
      <c r="C302" t="s">
        <v>54</v>
      </c>
      <c r="D302" t="s">
        <v>6</v>
      </c>
      <c r="E302" t="s">
        <v>55</v>
      </c>
      <c r="F302" t="s">
        <v>56</v>
      </c>
      <c r="G302" s="2" t="s">
        <v>57</v>
      </c>
      <c r="H302" t="s">
        <v>104</v>
      </c>
    </row>
    <row r="303" spans="1:10" x14ac:dyDescent="0.25">
      <c r="A303">
        <v>301</v>
      </c>
      <c r="B303" t="s">
        <v>58</v>
      </c>
      <c r="C303" t="s">
        <v>59</v>
      </c>
      <c r="D303" t="s">
        <v>9</v>
      </c>
      <c r="E303">
        <v>2</v>
      </c>
      <c r="F303">
        <v>45000</v>
      </c>
      <c r="G303" s="2">
        <v>45662</v>
      </c>
      <c r="H303">
        <f>ROUND(Sales_Data11[[#This Row],[Unit_Price]],-3)</f>
        <v>45000</v>
      </c>
    </row>
    <row r="304" spans="1:10" x14ac:dyDescent="0.25">
      <c r="A304">
        <v>302</v>
      </c>
      <c r="B304" t="s">
        <v>60</v>
      </c>
      <c r="C304" t="s">
        <v>61</v>
      </c>
      <c r="D304" t="s">
        <v>11</v>
      </c>
      <c r="E304">
        <v>5</v>
      </c>
      <c r="F304">
        <v>15000</v>
      </c>
      <c r="G304" s="2">
        <v>45664</v>
      </c>
      <c r="H304">
        <f>ROUND(Sales_Data11[[#This Row],[Unit_Price]],-3)</f>
        <v>15000</v>
      </c>
    </row>
    <row r="305" spans="1:10" x14ac:dyDescent="0.25">
      <c r="A305">
        <v>303</v>
      </c>
      <c r="B305" t="s">
        <v>62</v>
      </c>
      <c r="C305" t="s">
        <v>63</v>
      </c>
      <c r="D305" t="s">
        <v>12</v>
      </c>
      <c r="E305">
        <v>3</v>
      </c>
      <c r="F305">
        <v>18000</v>
      </c>
      <c r="G305" s="2">
        <v>45667</v>
      </c>
      <c r="H305">
        <f>ROUND(Sales_Data11[[#This Row],[Unit_Price]],-3)</f>
        <v>18000</v>
      </c>
    </row>
    <row r="306" spans="1:10" x14ac:dyDescent="0.25">
      <c r="A306">
        <v>304</v>
      </c>
      <c r="B306" t="s">
        <v>64</v>
      </c>
      <c r="C306" t="s">
        <v>65</v>
      </c>
      <c r="D306" t="s">
        <v>9</v>
      </c>
      <c r="E306">
        <v>1</v>
      </c>
      <c r="F306">
        <v>45000</v>
      </c>
      <c r="G306" s="2">
        <v>45669</v>
      </c>
      <c r="H306">
        <f>ROUND(Sales_Data11[[#This Row],[Unit_Price]],-3)</f>
        <v>45000</v>
      </c>
    </row>
    <row r="307" spans="1:10" x14ac:dyDescent="0.25">
      <c r="A307">
        <v>305</v>
      </c>
      <c r="B307" t="s">
        <v>58</v>
      </c>
      <c r="C307" t="s">
        <v>59</v>
      </c>
      <c r="D307" t="s">
        <v>11</v>
      </c>
      <c r="E307">
        <v>4</v>
      </c>
      <c r="F307">
        <v>15000</v>
      </c>
      <c r="G307" s="2">
        <v>45672</v>
      </c>
      <c r="H307">
        <f>ROUND(Sales_Data11[[#This Row],[Unit_Price]],-3)</f>
        <v>15000</v>
      </c>
    </row>
    <row r="308" spans="1:10" x14ac:dyDescent="0.25">
      <c r="A308">
        <v>306</v>
      </c>
      <c r="B308" t="s">
        <v>60</v>
      </c>
      <c r="C308" t="s">
        <v>61</v>
      </c>
      <c r="D308" t="s">
        <v>9</v>
      </c>
      <c r="E308">
        <v>2</v>
      </c>
      <c r="F308">
        <v>45000</v>
      </c>
      <c r="G308" s="2">
        <v>45675</v>
      </c>
      <c r="H308">
        <f>ROUND(Sales_Data11[[#This Row],[Unit_Price]],-3)</f>
        <v>45000</v>
      </c>
    </row>
    <row r="311" spans="1:10" ht="21" x14ac:dyDescent="0.25">
      <c r="G311" s="35" t="s">
        <v>49</v>
      </c>
      <c r="H311" s="35"/>
      <c r="I311" s="35"/>
      <c r="J311" s="35"/>
    </row>
    <row r="313" spans="1:10" x14ac:dyDescent="0.25">
      <c r="A313" t="s">
        <v>66</v>
      </c>
      <c r="B313" t="s">
        <v>67</v>
      </c>
      <c r="C313" t="s">
        <v>68</v>
      </c>
      <c r="D313" t="s">
        <v>69</v>
      </c>
      <c r="E313" t="s">
        <v>70</v>
      </c>
      <c r="F313" t="s">
        <v>71</v>
      </c>
    </row>
    <row r="314" spans="1:10" ht="18.75" x14ac:dyDescent="0.25">
      <c r="A314">
        <v>1</v>
      </c>
      <c r="B314" t="s">
        <v>72</v>
      </c>
      <c r="C314">
        <v>78</v>
      </c>
      <c r="D314">
        <v>82</v>
      </c>
      <c r="E314">
        <v>85</v>
      </c>
      <c r="F314">
        <v>92</v>
      </c>
      <c r="J314" s="29" t="s">
        <v>105</v>
      </c>
    </row>
    <row r="315" spans="1:10" x14ac:dyDescent="0.25">
      <c r="A315">
        <v>2</v>
      </c>
      <c r="B315" t="s">
        <v>73</v>
      </c>
      <c r="C315">
        <v>88</v>
      </c>
      <c r="D315">
        <v>91</v>
      </c>
      <c r="E315">
        <v>90</v>
      </c>
      <c r="F315">
        <v>96</v>
      </c>
    </row>
    <row r="316" spans="1:10" x14ac:dyDescent="0.25">
      <c r="A316">
        <v>3</v>
      </c>
      <c r="B316" t="s">
        <v>74</v>
      </c>
      <c r="C316">
        <v>65</v>
      </c>
      <c r="D316">
        <v>70</v>
      </c>
      <c r="E316">
        <v>72</v>
      </c>
      <c r="F316">
        <v>85</v>
      </c>
    </row>
    <row r="317" spans="1:10" x14ac:dyDescent="0.25">
      <c r="A317">
        <v>4</v>
      </c>
      <c r="B317" t="s">
        <v>75</v>
      </c>
      <c r="C317">
        <v>92</v>
      </c>
      <c r="D317">
        <v>89</v>
      </c>
      <c r="E317">
        <v>94</v>
      </c>
      <c r="F317">
        <v>98</v>
      </c>
    </row>
    <row r="318" spans="1:10" x14ac:dyDescent="0.25">
      <c r="A318">
        <v>5</v>
      </c>
      <c r="B318" t="s">
        <v>76</v>
      </c>
      <c r="C318">
        <v>55</v>
      </c>
      <c r="D318">
        <v>60</v>
      </c>
      <c r="E318">
        <v>58</v>
      </c>
      <c r="F318">
        <v>80</v>
      </c>
    </row>
    <row r="322" spans="1:13" ht="21" x14ac:dyDescent="0.25">
      <c r="G322" s="35" t="s">
        <v>50</v>
      </c>
      <c r="H322" s="35"/>
      <c r="I322" s="35"/>
      <c r="J322" s="35"/>
    </row>
    <row r="325" spans="1:13" x14ac:dyDescent="0.25">
      <c r="A325" t="s">
        <v>52</v>
      </c>
      <c r="B325" t="s">
        <v>53</v>
      </c>
      <c r="C325" t="s">
        <v>54</v>
      </c>
      <c r="D325" t="s">
        <v>6</v>
      </c>
      <c r="E325" t="s">
        <v>55</v>
      </c>
      <c r="F325" t="s">
        <v>56</v>
      </c>
      <c r="G325" t="s">
        <v>57</v>
      </c>
    </row>
    <row r="326" spans="1:13" x14ac:dyDescent="0.25">
      <c r="A326">
        <v>301</v>
      </c>
      <c r="B326" t="s">
        <v>58</v>
      </c>
      <c r="C326" t="s">
        <v>59</v>
      </c>
      <c r="D326" t="s">
        <v>9</v>
      </c>
      <c r="E326">
        <v>2</v>
      </c>
      <c r="F326">
        <v>45000</v>
      </c>
      <c r="G326">
        <v>45662</v>
      </c>
    </row>
    <row r="327" spans="1:13" x14ac:dyDescent="0.25">
      <c r="A327">
        <v>302</v>
      </c>
      <c r="B327" t="s">
        <v>60</v>
      </c>
      <c r="C327" t="s">
        <v>61</v>
      </c>
      <c r="D327" t="s">
        <v>11</v>
      </c>
      <c r="E327">
        <v>5</v>
      </c>
      <c r="F327">
        <v>15000</v>
      </c>
      <c r="G327">
        <v>45664</v>
      </c>
    </row>
    <row r="328" spans="1:13" ht="18.75" x14ac:dyDescent="0.25">
      <c r="A328">
        <v>303</v>
      </c>
      <c r="B328" t="s">
        <v>62</v>
      </c>
      <c r="C328" t="s">
        <v>63</v>
      </c>
      <c r="D328" t="s">
        <v>12</v>
      </c>
      <c r="E328">
        <v>3</v>
      </c>
      <c r="F328">
        <v>18000</v>
      </c>
      <c r="G328">
        <v>45667</v>
      </c>
      <c r="I328" s="30" t="s">
        <v>106</v>
      </c>
      <c r="J328" s="31"/>
      <c r="K328" s="31"/>
      <c r="L328" s="31"/>
      <c r="M328" s="31"/>
    </row>
    <row r="329" spans="1:13" x14ac:dyDescent="0.25">
      <c r="A329">
        <v>304</v>
      </c>
      <c r="B329" t="s">
        <v>64</v>
      </c>
      <c r="C329" t="s">
        <v>65</v>
      </c>
      <c r="D329" t="s">
        <v>9</v>
      </c>
      <c r="E329">
        <v>1</v>
      </c>
      <c r="F329">
        <v>45000</v>
      </c>
      <c r="G329">
        <v>45669</v>
      </c>
    </row>
    <row r="330" spans="1:13" x14ac:dyDescent="0.25">
      <c r="A330">
        <v>305</v>
      </c>
      <c r="B330" t="s">
        <v>58</v>
      </c>
      <c r="C330" t="s">
        <v>59</v>
      </c>
      <c r="D330" t="s">
        <v>11</v>
      </c>
      <c r="E330">
        <v>4</v>
      </c>
      <c r="F330">
        <v>15000</v>
      </c>
      <c r="G330">
        <v>45672</v>
      </c>
    </row>
    <row r="331" spans="1:13" x14ac:dyDescent="0.25">
      <c r="A331">
        <v>306</v>
      </c>
      <c r="B331" t="s">
        <v>60</v>
      </c>
      <c r="C331" t="s">
        <v>61</v>
      </c>
      <c r="D331" t="s">
        <v>9</v>
      </c>
      <c r="E331">
        <v>2</v>
      </c>
      <c r="F331">
        <v>45000</v>
      </c>
      <c r="G331">
        <v>45675</v>
      </c>
    </row>
    <row r="335" spans="1:13" ht="21" x14ac:dyDescent="0.25">
      <c r="G335" s="35" t="s">
        <v>51</v>
      </c>
      <c r="H335" s="35"/>
      <c r="I335" s="35"/>
      <c r="J335" s="35"/>
    </row>
    <row r="339" spans="1:6" x14ac:dyDescent="0.25">
      <c r="A339" t="s">
        <v>66</v>
      </c>
      <c r="B339" t="s">
        <v>67</v>
      </c>
      <c r="C339" t="s">
        <v>68</v>
      </c>
      <c r="D339" t="s">
        <v>69</v>
      </c>
      <c r="E339" t="s">
        <v>70</v>
      </c>
      <c r="F339" t="s">
        <v>71</v>
      </c>
    </row>
    <row r="340" spans="1:6" x14ac:dyDescent="0.25">
      <c r="A340">
        <v>1</v>
      </c>
      <c r="B340" t="s">
        <v>72</v>
      </c>
      <c r="C340">
        <v>78</v>
      </c>
      <c r="D340">
        <v>82</v>
      </c>
      <c r="E340">
        <v>85</v>
      </c>
      <c r="F340">
        <v>92</v>
      </c>
    </row>
    <row r="341" spans="1:6" x14ac:dyDescent="0.25">
      <c r="A341">
        <v>2</v>
      </c>
      <c r="B341" t="s">
        <v>73</v>
      </c>
      <c r="C341">
        <v>88</v>
      </c>
      <c r="D341">
        <v>91</v>
      </c>
      <c r="E341">
        <v>90</v>
      </c>
      <c r="F341">
        <v>96</v>
      </c>
    </row>
    <row r="342" spans="1:6" x14ac:dyDescent="0.25">
      <c r="A342">
        <v>3</v>
      </c>
      <c r="B342" t="s">
        <v>74</v>
      </c>
      <c r="C342">
        <v>65</v>
      </c>
      <c r="D342">
        <v>70</v>
      </c>
      <c r="E342">
        <v>72</v>
      </c>
      <c r="F342">
        <v>85</v>
      </c>
    </row>
    <row r="343" spans="1:6" x14ac:dyDescent="0.25">
      <c r="A343">
        <v>4</v>
      </c>
      <c r="B343" t="s">
        <v>75</v>
      </c>
      <c r="C343">
        <v>92</v>
      </c>
      <c r="D343">
        <v>89</v>
      </c>
      <c r="E343">
        <v>94</v>
      </c>
      <c r="F343">
        <v>98</v>
      </c>
    </row>
    <row r="344" spans="1:6" x14ac:dyDescent="0.25">
      <c r="A344">
        <v>5</v>
      </c>
      <c r="B344" t="s">
        <v>76</v>
      </c>
      <c r="C344">
        <v>55</v>
      </c>
      <c r="D344">
        <v>60</v>
      </c>
      <c r="E344">
        <v>58</v>
      </c>
      <c r="F344">
        <v>80</v>
      </c>
    </row>
  </sheetData>
  <mergeCells count="30">
    <mergeCell ref="G106:J106"/>
    <mergeCell ref="G1:K1"/>
    <mergeCell ref="G12:K12"/>
    <mergeCell ref="G20:K20"/>
    <mergeCell ref="G31:K31"/>
    <mergeCell ref="G36:J36"/>
    <mergeCell ref="G46:J46"/>
    <mergeCell ref="G58:J58"/>
    <mergeCell ref="G69:J69"/>
    <mergeCell ref="G81:J81"/>
    <mergeCell ref="G92:J92"/>
    <mergeCell ref="G115:J115"/>
    <mergeCell ref="G126:J126"/>
    <mergeCell ref="G138:J138"/>
    <mergeCell ref="G150:J150"/>
    <mergeCell ref="G161:J161"/>
    <mergeCell ref="G164:J164"/>
    <mergeCell ref="G167:J167"/>
    <mergeCell ref="G188:J188"/>
    <mergeCell ref="G209:J209"/>
    <mergeCell ref="G222:J222"/>
    <mergeCell ref="G311:J311"/>
    <mergeCell ref="G322:J322"/>
    <mergeCell ref="G335:J335"/>
    <mergeCell ref="G234:J234"/>
    <mergeCell ref="G246:J246"/>
    <mergeCell ref="G258:J258"/>
    <mergeCell ref="G272:J272"/>
    <mergeCell ref="G286:J286"/>
    <mergeCell ref="G299:J299"/>
  </mergeCells>
  <conditionalFormatting sqref="G130:G134">
    <cfRule type="cellIs" dxfId="131" priority="4" operator="greaterThan">
      <formula>85</formula>
    </cfRule>
  </conditionalFormatting>
  <conditionalFormatting sqref="H263:H268">
    <cfRule type="cellIs" dxfId="130" priority="1" operator="greaterThan">
      <formula>60000</formula>
    </cfRule>
  </conditionalFormatting>
  <pageMargins left="0.7" right="0.7" top="0.75" bottom="0.75" header="0.3" footer="0.3"/>
  <pageSetup orientation="portrait" r:id="rId1"/>
  <drawing r:id="rId2"/>
  <tableParts count="2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B689EEA5-F838-486E-A347-884E4DB87911}">
  <ds:schemaRefs/>
</ds:datastoreItem>
</file>

<file path=customXml/itemProps2.xml><?xml version="1.0" encoding="utf-8"?>
<ds:datastoreItem xmlns:ds="http://schemas.openxmlformats.org/officeDocument/2006/customXml" ds:itemID="{9AB72ED3-4CB2-44E1-9E2A-74EF662AC8D9}">
  <ds:schemaRefs/>
</ds:datastoreItem>
</file>

<file path=customXml/itemProps3.xml><?xml version="1.0" encoding="utf-8"?>
<ds:datastoreItem xmlns:ds="http://schemas.openxmlformats.org/officeDocument/2006/customXml" ds:itemID="{5F6C7BDE-54E2-44BB-BF15-D57B4E10BFFD}">
  <ds:schemaRefs/>
</ds:datastoreItem>
</file>

<file path=customXml/itemProps4.xml><?xml version="1.0" encoding="utf-8"?>
<ds:datastoreItem xmlns:ds="http://schemas.openxmlformats.org/officeDocument/2006/customXml" ds:itemID="{D134AD68-4803-482B-A433-8FC7E736A61B}">
  <ds:schemaRefs/>
</ds:datastoreItem>
</file>

<file path=customXml/itemProps5.xml><?xml version="1.0" encoding="utf-8"?>
<ds:datastoreItem xmlns:ds="http://schemas.openxmlformats.org/officeDocument/2006/customXml" ds:itemID="{3BB8611E-C0B5-4554-B4BB-5B46162B32BE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87F5A93B-D964-4142-ACFB-4E2527D52A5B}">
  <ds:schemaRefs/>
</ds:datastoreItem>
</file>

<file path=customXml/itemProps7.xml><?xml version="1.0" encoding="utf-8"?>
<ds:datastoreItem xmlns:ds="http://schemas.openxmlformats.org/officeDocument/2006/customXml" ds:itemID="{4ECA24E2-53DC-400B-9BB5-B2020C6F9F15}">
  <ds:schemaRefs/>
</ds:datastoreItem>
</file>

<file path=customXml/itemProps8.xml><?xml version="1.0" encoding="utf-8"?>
<ds:datastoreItem xmlns:ds="http://schemas.openxmlformats.org/officeDocument/2006/customXml" ds:itemID="{E473BAC3-5DBD-48A3-87CF-EC7A9D64FFCE}">
  <ds:schemaRefs/>
</ds:datastoreItem>
</file>

<file path=customXml/itemProps9.xml><?xml version="1.0" encoding="utf-8"?>
<ds:datastoreItem xmlns:ds="http://schemas.openxmlformats.org/officeDocument/2006/customXml" ds:itemID="{C9B6682D-7DA8-4061-9DB4-3B3A14719759}">
  <ds:schemaRefs/>
</ds:datastoreItem>
</file>

<file path=customXml/itemProps10.xml><?xml version="1.0" encoding="utf-8"?>
<ds:datastoreItem xmlns:ds="http://schemas.openxmlformats.org/officeDocument/2006/customXml" ds:itemID="{D04291A6-9869-4922-B9C1-E28C26629598}">
  <ds:schemaRefs/>
</ds:datastoreItem>
</file>

<file path=customXml/itemProps11.xml><?xml version="1.0" encoding="utf-8"?>
<ds:datastoreItem xmlns:ds="http://schemas.openxmlformats.org/officeDocument/2006/customXml" ds:itemID="{D6C46D7C-1B32-49B9-AD1D-93F52288280F}">
  <ds:schemaRefs/>
</ds:datastoreItem>
</file>

<file path=customXml/itemProps12.xml><?xml version="1.0" encoding="utf-8"?>
<ds:datastoreItem xmlns:ds="http://schemas.openxmlformats.org/officeDocument/2006/customXml" ds:itemID="{BCE09BAA-FABA-41B4-8B12-2A70150C1D62}">
  <ds:schemaRefs/>
</ds:datastoreItem>
</file>

<file path=customXml/itemProps13.xml><?xml version="1.0" encoding="utf-8"?>
<ds:datastoreItem xmlns:ds="http://schemas.openxmlformats.org/officeDocument/2006/customXml" ds:itemID="{A0975138-93B4-4CAB-97C9-7711D60045A9}">
  <ds:schemaRefs/>
</ds:datastoreItem>
</file>

<file path=customXml/itemProps14.xml><?xml version="1.0" encoding="utf-8"?>
<ds:datastoreItem xmlns:ds="http://schemas.openxmlformats.org/officeDocument/2006/customXml" ds:itemID="{C313EDD4-D85F-44F9-9071-34180163DE53}">
  <ds:schemaRefs/>
</ds:datastoreItem>
</file>

<file path=customXml/itemProps15.xml><?xml version="1.0" encoding="utf-8"?>
<ds:datastoreItem xmlns:ds="http://schemas.openxmlformats.org/officeDocument/2006/customXml" ds:itemID="{C6435A51-0F1E-4D59-8DD8-25F59C79C9B5}">
  <ds:schemaRefs/>
</ds:datastoreItem>
</file>

<file path=customXml/itemProps16.xml><?xml version="1.0" encoding="utf-8"?>
<ds:datastoreItem xmlns:ds="http://schemas.openxmlformats.org/officeDocument/2006/customXml" ds:itemID="{0A6046F8-02CF-453B-A9EE-47EC58D08249}">
  <ds:schemaRefs/>
</ds:datastoreItem>
</file>

<file path=customXml/itemProps17.xml><?xml version="1.0" encoding="utf-8"?>
<ds:datastoreItem xmlns:ds="http://schemas.openxmlformats.org/officeDocument/2006/customXml" ds:itemID="{0B02140D-D29E-4408-97A2-9E0D2769FC78}">
  <ds:schemaRefs/>
</ds:datastoreItem>
</file>

<file path=customXml/itemProps18.xml><?xml version="1.0" encoding="utf-8"?>
<ds:datastoreItem xmlns:ds="http://schemas.openxmlformats.org/officeDocument/2006/customXml" ds:itemID="{31ADECE5-02C2-4951-9F25-DCBF42A1D964}">
  <ds:schemaRefs/>
</ds:datastoreItem>
</file>

<file path=customXml/itemProps19.xml><?xml version="1.0" encoding="utf-8"?>
<ds:datastoreItem xmlns:ds="http://schemas.openxmlformats.org/officeDocument/2006/customXml" ds:itemID="{B21462AA-B0D3-43CB-BE2C-C9F3A03F288C}">
  <ds:schemaRefs/>
</ds:datastoreItem>
</file>

<file path=customXml/itemProps20.xml><?xml version="1.0" encoding="utf-8"?>
<ds:datastoreItem xmlns:ds="http://schemas.openxmlformats.org/officeDocument/2006/customXml" ds:itemID="{EB5EC449-2A1F-4B24-BFFD-8EB750F74C7A}">
  <ds:schemaRefs/>
</ds:datastoreItem>
</file>

<file path=customXml/itemProps21.xml><?xml version="1.0" encoding="utf-8"?>
<ds:datastoreItem xmlns:ds="http://schemas.openxmlformats.org/officeDocument/2006/customXml" ds:itemID="{BA1D06EE-9832-410D-857F-00686E835907}">
  <ds:schemaRefs/>
</ds:datastoreItem>
</file>

<file path=customXml/itemProps22.xml><?xml version="1.0" encoding="utf-8"?>
<ds:datastoreItem xmlns:ds="http://schemas.openxmlformats.org/officeDocument/2006/customXml" ds:itemID="{D4C95AE1-7A56-43E1-8C84-6198C9EDDEB7}">
  <ds:schemaRefs/>
</ds:datastoreItem>
</file>

<file path=customXml/itemProps23.xml><?xml version="1.0" encoding="utf-8"?>
<ds:datastoreItem xmlns:ds="http://schemas.openxmlformats.org/officeDocument/2006/customXml" ds:itemID="{0303DAA7-AAA6-4F87-881A-34BAAD8D580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Questions</vt:lpstr>
      <vt:lpstr>Instructions</vt:lpstr>
      <vt:lpstr>Product_Master</vt:lpstr>
      <vt:lpstr>Sales_Data</vt:lpstr>
      <vt:lpstr>Student_Marks</vt:lpstr>
      <vt:lpstr>pivot</vt:lpstr>
      <vt:lpstr>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ASDC9</dc:creator>
  <cp:lastModifiedBy>ASDC9</cp:lastModifiedBy>
  <dcterms:created xsi:type="dcterms:W3CDTF">2026-04-22T12:52:14Z</dcterms:created>
  <dcterms:modified xsi:type="dcterms:W3CDTF">2026-04-23T13:16:44Z</dcterms:modified>
</cp:coreProperties>
</file>