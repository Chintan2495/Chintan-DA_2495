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13691e3b55eccbca/Desktop/dhaval/"/>
    </mc:Choice>
  </mc:AlternateContent>
  <xr:revisionPtr revIDLastSave="30" documentId="13_ncr:1_{0AF868F7-794A-4D72-BEF1-7F2BFC102793}" xr6:coauthVersionLast="47" xr6:coauthVersionMax="47" xr10:uidLastSave="{75F28F9D-2DCE-4F5E-A33B-9BE1A980A188}"/>
  <bookViews>
    <workbookView xWindow="-120" yWindow="-120" windowWidth="15600" windowHeight="11040" activeTab="2" xr2:uid="{B4A7FAC7-FC01-4243-BEFA-CE5493DB3DC4}"/>
  </bookViews>
  <sheets>
    <sheet name="Sales_data" sheetId="1" r:id="rId1"/>
    <sheet name="pivot table" sheetId="2" r:id="rId2"/>
    <sheet name="dashboard" sheetId="3" r:id="rId3"/>
    <sheet name="Sheet1" sheetId="4"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2" l="1"/>
  <c r="I4" i="2"/>
  <c r="I3" i="2"/>
</calcChain>
</file>

<file path=xl/sharedStrings.xml><?xml version="1.0" encoding="utf-8"?>
<sst xmlns="http://schemas.openxmlformats.org/spreadsheetml/2006/main" count="1275" uniqueCount="54">
  <si>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</si>
  <si>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</si>
  <si>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</si>
  <si>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</si>
  <si>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</si>
  <si>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</si>
  <si>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</si>
  <si>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</si>
  <si>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</si>
  <si>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</si>
  <si>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</si>
  <si>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</si>
  <si>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</si>
  <si>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</si>
  <si>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</si>
  <si>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</si>
  <si>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</si>
  <si>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</si>
  <si>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</si>
  <si>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</si>
  <si>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</si>
  <si>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</si>
  <si>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</si>
  <si>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</si>
  <si>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</si>
  <si>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</si>
  <si>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Customer</t>
  </si>
  <si>
    <t>Region</t>
  </si>
  <si>
    <t>Category</t>
  </si>
  <si>
    <t>Product</t>
  </si>
  <si>
    <t>Quantity</t>
  </si>
  <si>
    <t>Date</t>
  </si>
  <si>
    <t>Total</t>
  </si>
  <si>
    <t>Profit</t>
  </si>
  <si>
    <t>Grand Total</t>
  </si>
  <si>
    <t>Sum of Sales</t>
  </si>
  <si>
    <t>Jan</t>
  </si>
  <si>
    <t>Feb</t>
  </si>
  <si>
    <t>Mar</t>
  </si>
  <si>
    <t>Apr</t>
  </si>
  <si>
    <t>May</t>
  </si>
  <si>
    <t>Jun</t>
  </si>
  <si>
    <t>Jul</t>
  </si>
  <si>
    <t>Aug</t>
  </si>
  <si>
    <t>Sep</t>
  </si>
  <si>
    <t>Oct</t>
  </si>
  <si>
    <t>Sum of Profit</t>
  </si>
  <si>
    <t>Total sales</t>
  </si>
  <si>
    <t>Total profit</t>
  </si>
  <si>
    <t>Qty</t>
  </si>
  <si>
    <t>Units</t>
  </si>
  <si>
    <t>mira</t>
  </si>
  <si>
    <t>Sum of Quantity</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</si>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</sst>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8" tint="0.39997558519241921"/>
        <bgColor indexed="64"/>
      </patternFill>
    </fill>
    <fill>
      <patternFill patternType="solid">
        <fgColor theme="5"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0" fillId="0" borderId="1" xfId="0" applyBorder="1"/>
    <xf numFmtId="14" fontId="0" fillId="0" borderId="0" xfId="0" applyNumberFormat="1"/>
    <xf numFmtId="0" fontId="0" fillId="0" borderId="0" xfId="0" applyAlignment="1">
      <alignment horizontal="left"/>
    </xf>
    <xf numFmtId="14"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1" fillId="2" borderId="1" xfId="0" applyFont="1" applyFill="1" applyBorder="1"/>
    <xf numFmtId="0" fontId="0" fillId="3" borderId="0" xfId="0" applyFill="1"/>
    <xf numFmtId="0" fontId="0" fillId="3" borderId="0" xfId="0" applyFill="1" applyAlignment="1">
      <alignment horizontal="left"/>
    </xf>
    <xf numFmtId="0" fontId="1" fillId="4" borderId="1" xfId="0" applyFont="1" applyFill="1" applyBorder="1"/>
    <xf numFmtId="0" fontId="0" fillId="0" borderId="0" xfId="0" pivotButton="1"/>
    <xf numFmtId="0" fontId="0" fillId="0" borderId="0" xfId="0" applyNumberFormat="1"/>
    <xf numFmtId="0" fontId="0" fillId="3" borderId="0" xfId="0" applyNumberFormat="1" applyFill="1"/>
  </cellXfs>
  <cellStyles count="1">
    <cellStyle name="Normal" xfId="0" builtinId="0"/>
  </cellStyles>
  <dxfs count="50">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patternType="solid">
          <fgColor indexed="64"/>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fgColor indexed="64"/>
          <bgColor theme="8" tint="0.39997558519241921"/>
        </patternFill>
      </fill>
    </dxf>
    <dxf>
      <fill>
        <patternFill patternType="solid">
          <bgColor theme="8" tint="0.39997558519241921"/>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for data sales.xlsx]pivot table!PivotTable1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East</c:v>
                </c:pt>
                <c:pt idx="1">
                  <c:v>North</c:v>
                </c:pt>
                <c:pt idx="2">
                  <c:v>South</c:v>
                </c:pt>
                <c:pt idx="3">
                  <c:v>West</c:v>
                </c:pt>
              </c:strCache>
            </c:strRef>
          </c:cat>
          <c:val>
            <c:numRef>
              <c:f>'pivot table'!$B$4:$B$8</c:f>
              <c:numCache>
                <c:formatCode>General</c:formatCode>
                <c:ptCount val="4"/>
                <c:pt idx="0">
                  <c:v>1586856</c:v>
                </c:pt>
                <c:pt idx="1">
                  <c:v>2077957</c:v>
                </c:pt>
                <c:pt idx="2">
                  <c:v>1849297</c:v>
                </c:pt>
                <c:pt idx="3">
                  <c:v>2148675</c:v>
                </c:pt>
              </c:numCache>
            </c:numRef>
          </c:val>
          <c:extLst>
            <c:ext xmlns:c16="http://schemas.microsoft.com/office/drawing/2014/chart" uri="{C3380CC4-5D6E-409C-BE32-E72D297353CC}">
              <c16:uniqueId val="{00000000-15F3-4874-9E31-080B8D6F5B0A}"/>
            </c:ext>
          </c:extLst>
        </c:ser>
        <c:dLbls>
          <c:showLegendKey val="0"/>
          <c:showVal val="0"/>
          <c:showCatName val="0"/>
          <c:showSerName val="0"/>
          <c:showPercent val="0"/>
          <c:showBubbleSize val="0"/>
        </c:dLbls>
        <c:gapWidth val="219"/>
        <c:overlap val="-27"/>
        <c:axId val="1169359791"/>
        <c:axId val="1169363951"/>
      </c:barChart>
      <c:catAx>
        <c:axId val="116935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363951"/>
        <c:crosses val="autoZero"/>
        <c:auto val="1"/>
        <c:lblAlgn val="ctr"/>
        <c:lblOffset val="100"/>
        <c:noMultiLvlLbl val="0"/>
      </c:catAx>
      <c:valAx>
        <c:axId val="116936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35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for data sales.xlsx]pivot table!PivotTable1</c:name>
    <c:fmtId val="6"/>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Sale by region</a:t>
            </a:r>
          </a:p>
        </c:rich>
      </c:tx>
      <c:layout>
        <c:manualLayout>
          <c:xMode val="edge"/>
          <c:yMode val="edge"/>
          <c:x val="0.37877114479632773"/>
          <c:y val="2.20948022522825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alpha val="83000"/>
            </a:schemeClr>
          </a:solidFill>
          <a:ln w="12700">
            <a:solidFill>
              <a:schemeClr val="tx1"/>
            </a:solidFill>
          </a:ln>
          <a:effectLst>
            <a:outerShdw blurRad="50800" dist="38100" dir="2700000" algn="tl" rotWithShape="0">
              <a:srgbClr val="00B0F0">
                <a:alpha val="40000"/>
              </a:srgbClr>
            </a:outerShdw>
          </a:effectLst>
          <a:sp3d contourW="127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5">
            <a:lumMod val="50000"/>
          </a:schemeClr>
        </a:solidFill>
        <a:ln>
          <a:noFill/>
        </a:ln>
        <a:effectLst/>
        <a:sp3d/>
      </c:spPr>
    </c:sideWall>
    <c:backWall>
      <c:thickness val="0"/>
      <c:spPr>
        <a:solidFill>
          <a:schemeClr val="accent5">
            <a:lumMod val="50000"/>
          </a:schemeClr>
        </a:solidFill>
        <a:ln>
          <a:noFill/>
        </a:ln>
        <a:effectLst/>
        <a:sp3d/>
      </c:spPr>
    </c:backWall>
    <c:plotArea>
      <c:layout>
        <c:manualLayout>
          <c:layoutTarget val="inner"/>
          <c:xMode val="edge"/>
          <c:yMode val="edge"/>
          <c:x val="0.1344174268965278"/>
          <c:y val="0.20331067590910112"/>
          <c:w val="0.85998288760160502"/>
          <c:h val="0.68053659959171775"/>
        </c:manualLayout>
      </c:layout>
      <c:bar3DChart>
        <c:barDir val="col"/>
        <c:grouping val="clustered"/>
        <c:varyColors val="0"/>
        <c:ser>
          <c:idx val="0"/>
          <c:order val="0"/>
          <c:tx>
            <c:strRef>
              <c:f>'pivot table'!$B$3</c:f>
              <c:strCache>
                <c:ptCount val="1"/>
                <c:pt idx="0">
                  <c:v>Total</c:v>
                </c:pt>
              </c:strCache>
            </c:strRef>
          </c:tx>
          <c:spPr>
            <a:solidFill>
              <a:schemeClr val="accent2">
                <a:lumMod val="75000"/>
                <a:alpha val="83000"/>
              </a:schemeClr>
            </a:solidFill>
            <a:ln w="12700">
              <a:solidFill>
                <a:schemeClr val="tx1"/>
              </a:solidFill>
            </a:ln>
            <a:effectLst>
              <a:outerShdw blurRad="50800" dist="38100" dir="2700000" algn="tl" rotWithShape="0">
                <a:srgbClr val="00B0F0">
                  <a:alpha val="40000"/>
                </a:srgbClr>
              </a:outerShdw>
            </a:effectLst>
            <a:sp3d contourW="12700">
              <a:contourClr>
                <a:schemeClr val="tx1"/>
              </a:contourClr>
            </a:sp3d>
          </c:spPr>
          <c:invertIfNegative val="0"/>
          <c:cat>
            <c:strRef>
              <c:f>'pivot table'!$A$4:$A$8</c:f>
              <c:strCache>
                <c:ptCount val="4"/>
                <c:pt idx="0">
                  <c:v>East</c:v>
                </c:pt>
                <c:pt idx="1">
                  <c:v>North</c:v>
                </c:pt>
                <c:pt idx="2">
                  <c:v>South</c:v>
                </c:pt>
                <c:pt idx="3">
                  <c:v>West</c:v>
                </c:pt>
              </c:strCache>
            </c:strRef>
          </c:cat>
          <c:val>
            <c:numRef>
              <c:f>'pivot table'!$B$4:$B$8</c:f>
              <c:numCache>
                <c:formatCode>General</c:formatCode>
                <c:ptCount val="4"/>
                <c:pt idx="0">
                  <c:v>1586856</c:v>
                </c:pt>
                <c:pt idx="1">
                  <c:v>2077957</c:v>
                </c:pt>
                <c:pt idx="2">
                  <c:v>1849297</c:v>
                </c:pt>
                <c:pt idx="3">
                  <c:v>2148675</c:v>
                </c:pt>
              </c:numCache>
            </c:numRef>
          </c:val>
          <c:extLst>
            <c:ext xmlns:c16="http://schemas.microsoft.com/office/drawing/2014/chart" uri="{C3380CC4-5D6E-409C-BE32-E72D297353CC}">
              <c16:uniqueId val="{00000000-170D-4D87-AFA8-5904E0948A29}"/>
            </c:ext>
          </c:extLst>
        </c:ser>
        <c:dLbls>
          <c:showLegendKey val="0"/>
          <c:showVal val="0"/>
          <c:showCatName val="0"/>
          <c:showSerName val="0"/>
          <c:showPercent val="0"/>
          <c:showBubbleSize val="0"/>
        </c:dLbls>
        <c:gapWidth val="150"/>
        <c:shape val="box"/>
        <c:axId val="1540162656"/>
        <c:axId val="1540169312"/>
        <c:axId val="0"/>
      </c:bar3DChart>
      <c:catAx>
        <c:axId val="1540162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69312"/>
        <c:crosses val="autoZero"/>
        <c:auto val="1"/>
        <c:lblAlgn val="ctr"/>
        <c:lblOffset val="100"/>
        <c:noMultiLvlLbl val="0"/>
      </c:catAx>
      <c:valAx>
        <c:axId val="154016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accent3">
              <a:lumMod val="60000"/>
              <a:lumOff val="40000"/>
              <a:alpha val="60000"/>
            </a:schemeClr>
          </a:solidFill>
          <a:ln w="9525" cap="rnd" cmpd="thinThick">
            <a:solidFill>
              <a:schemeClr val="tx1"/>
            </a:solidFill>
            <a:bevel/>
            <a:tailEnd type="arrow" w="med" len="sm"/>
          </a:ln>
          <a:effectLst>
            <a:outerShdw dist="50800" dir="5400000" sx="1000" sy="1000" algn="ctr" rotWithShape="0">
              <a:srgbClr val="FF0000">
                <a:alpha val="0"/>
              </a:srgb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62656"/>
        <c:crosses val="autoZero"/>
        <c:crossBetween val="between"/>
      </c:valAx>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cap="sq">
          <a:solidFill>
            <a:schemeClr val="accent2">
              <a:lumMod val="75000"/>
            </a:schemeClr>
          </a:solidFill>
        </a:ln>
        <a:effectLst>
          <a:glow rad="76200">
            <a:schemeClr val="accent3">
              <a:satMod val="175000"/>
              <a:alpha val="42000"/>
            </a:schemeClr>
          </a:glow>
          <a:outerShdw blurRad="50800" dist="38100" dir="17100000" sx="1000" sy="1000" rotWithShape="0">
            <a:prstClr val="black">
              <a:alpha val="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for data sales.xlsx]pivot table!PivotTable4</c:name>
    <c:fmtId val="46"/>
  </c:pivotSource>
  <c:chart>
    <c:title>
      <c:tx>
        <c:rich>
          <a:bodyPr rot="0" spcFirstLastPara="1" vertOverflow="ellipsis" vert="horz" wrap="square" anchor="ctr" anchorCtr="1"/>
          <a:lstStyle/>
          <a:p>
            <a:pPr>
              <a:defRPr sz="1800" b="1" i="0" u="none" strike="noStrike" kern="1200" baseline="0">
                <a:solidFill>
                  <a:schemeClr val="tx2">
                    <a:lumMod val="20000"/>
                    <a:lumOff val="80000"/>
                  </a:schemeClr>
                </a:solidFill>
                <a:latin typeface="+mn-lt"/>
                <a:ea typeface="+mn-ea"/>
                <a:cs typeface="+mn-cs"/>
              </a:defRPr>
            </a:pPr>
            <a:r>
              <a:rPr lang="en-US"/>
              <a:t>sales over time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lumMod val="20000"/>
                  <a:lumOff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19050" cap="flat" cmpd="sng" algn="ctr">
            <a:solidFill>
              <a:schemeClr val="accent1">
                <a:lumMod val="75000"/>
              </a:schemeClr>
            </a:solidFill>
            <a:round/>
          </a:ln>
          <a:effectLst/>
          <a:sp3d contourW="19050">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88648293963254E-2"/>
          <c:y val="0.15940193373264239"/>
          <c:w val="0.84355796150481199"/>
          <c:h val="0.70841420463467708"/>
        </c:manualLayout>
      </c:layout>
      <c:bar3DChart>
        <c:barDir val="bar"/>
        <c:grouping val="clustered"/>
        <c:varyColors val="0"/>
        <c:ser>
          <c:idx val="0"/>
          <c:order val="0"/>
          <c:tx>
            <c:strRef>
              <c:f>'pivot table'!$E$13</c:f>
              <c:strCache>
                <c:ptCount val="1"/>
                <c:pt idx="0">
                  <c:v>Total</c:v>
                </c:pt>
              </c:strCache>
            </c:strRef>
          </c:tx>
          <c:spPr>
            <a:solidFill>
              <a:schemeClr val="accent2">
                <a:lumMod val="75000"/>
              </a:schemeClr>
            </a:solidFill>
            <a:ln w="19050" cap="flat" cmpd="sng" algn="ctr">
              <a:solidFill>
                <a:schemeClr val="accent1">
                  <a:lumMod val="75000"/>
                </a:schemeClr>
              </a:solidFill>
              <a:round/>
            </a:ln>
            <a:effectLst/>
            <a:sp3d contourW="19050">
              <a:contourClr>
                <a:schemeClr val="accent1">
                  <a:lumMod val="75000"/>
                </a:schemeClr>
              </a:contourClr>
            </a:sp3d>
          </c:spPr>
          <c:invertIfNegative val="0"/>
          <c:cat>
            <c:strRef>
              <c:f>'pivot table'!$D$14:$D$24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table'!$E$14:$E$24</c:f>
              <c:numCache>
                <c:formatCode>General</c:formatCode>
                <c:ptCount val="10"/>
                <c:pt idx="0">
                  <c:v>806762</c:v>
                </c:pt>
                <c:pt idx="1">
                  <c:v>729074</c:v>
                </c:pt>
                <c:pt idx="2">
                  <c:v>779423</c:v>
                </c:pt>
                <c:pt idx="3">
                  <c:v>603156</c:v>
                </c:pt>
                <c:pt idx="4">
                  <c:v>741636</c:v>
                </c:pt>
                <c:pt idx="5">
                  <c:v>782869</c:v>
                </c:pt>
                <c:pt idx="6">
                  <c:v>890046</c:v>
                </c:pt>
                <c:pt idx="7">
                  <c:v>824137</c:v>
                </c:pt>
                <c:pt idx="8">
                  <c:v>869638</c:v>
                </c:pt>
                <c:pt idx="9">
                  <c:v>636044</c:v>
                </c:pt>
              </c:numCache>
            </c:numRef>
          </c:val>
          <c:extLst>
            <c:ext xmlns:c16="http://schemas.microsoft.com/office/drawing/2014/chart" uri="{C3380CC4-5D6E-409C-BE32-E72D297353CC}">
              <c16:uniqueId val="{00000000-C72F-42E2-BFB8-CB47493A1F9C}"/>
            </c:ext>
          </c:extLst>
        </c:ser>
        <c:dLbls>
          <c:showLegendKey val="0"/>
          <c:showVal val="0"/>
          <c:showCatName val="0"/>
          <c:showSerName val="0"/>
          <c:showPercent val="0"/>
          <c:showBubbleSize val="0"/>
        </c:dLbls>
        <c:gapWidth val="65"/>
        <c:shape val="box"/>
        <c:axId val="1848410080"/>
        <c:axId val="1848410912"/>
        <c:axId val="0"/>
      </c:bar3DChart>
      <c:catAx>
        <c:axId val="1848410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2">
                    <a:lumMod val="20000"/>
                    <a:lumOff val="80000"/>
                  </a:schemeClr>
                </a:solidFill>
                <a:latin typeface="+mn-lt"/>
                <a:ea typeface="+mn-ea"/>
                <a:cs typeface="+mn-cs"/>
              </a:defRPr>
            </a:pPr>
            <a:endParaRPr lang="en-US"/>
          </a:p>
        </c:txPr>
        <c:crossAx val="1848410912"/>
        <c:crosses val="autoZero"/>
        <c:auto val="1"/>
        <c:lblAlgn val="ctr"/>
        <c:lblOffset val="100"/>
        <c:noMultiLvlLbl val="0"/>
      </c:catAx>
      <c:valAx>
        <c:axId val="18484109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84841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dk1">
          <a:lumMod val="25000"/>
          <a:lumOff val="75000"/>
        </a:schemeClr>
      </a:solidFill>
      <a:round/>
    </a:ln>
    <a:effectLst/>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for data sales.xlsx]pivot table!PivotTable2</c:name>
    <c:fmtId val="18"/>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Sales</a:t>
            </a:r>
            <a:r>
              <a:rPr lang="en-US" b="1" baseline="0">
                <a:solidFill>
                  <a:schemeClr val="tx1">
                    <a:lumMod val="95000"/>
                    <a:lumOff val="5000"/>
                  </a:schemeClr>
                </a:solidFill>
              </a:rPr>
              <a:t> by catergory</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A4-4F38-ABB2-F29837DAAD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A4-4F38-ABB2-F29837DAAD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A4-4F38-ABB2-F29837DAAD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A4-4F38-ABB2-F29837DAADAA}"/>
              </c:ext>
            </c:extLst>
          </c:dPt>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1616556</c:v>
                </c:pt>
                <c:pt idx="1">
                  <c:v>1559964</c:v>
                </c:pt>
                <c:pt idx="2">
                  <c:v>2614269</c:v>
                </c:pt>
                <c:pt idx="3">
                  <c:v>1871996</c:v>
                </c:pt>
              </c:numCache>
            </c:numRef>
          </c:val>
          <c:extLst>
            <c:ext xmlns:c16="http://schemas.microsoft.com/office/drawing/2014/chart" uri="{C3380CC4-5D6E-409C-BE32-E72D297353CC}">
              <c16:uniqueId val="{00000008-2AA4-4F38-ABB2-F29837DAADA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449843499106537"/>
          <c:y val="0.16203312149433097"/>
          <c:w val="0.26383987715821239"/>
          <c:h val="0.72907024552965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a:glow rad="127000">
        <a:schemeClr val="tx2">
          <a:lumMod val="40000"/>
          <a:lumOff val="60000"/>
        </a:schemeClr>
      </a:glow>
      <a:outerShdw blurRad="50800" dist="50800" dir="5400000" algn="ctr" rotWithShape="0">
        <a:schemeClr val="accent3">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for data sales.xlsx]pivot table!PivotTable3</c:name>
    <c:fmtId val="11"/>
  </c:pivotSource>
  <c:chart>
    <c:title>
      <c:tx>
        <c:rich>
          <a:bodyPr rot="0" spcFirstLastPara="1" vertOverflow="ellipsis" vert="horz" wrap="square" anchor="ctr" anchorCtr="1"/>
          <a:lstStyle/>
          <a:p>
            <a:pPr>
              <a:defRPr sz="1400" b="1" i="0" u="none" strike="noStrike" kern="1200" cap="none" spc="20" baseline="0">
                <a:solidFill>
                  <a:schemeClr val="tx1">
                    <a:lumMod val="95000"/>
                    <a:lumOff val="5000"/>
                  </a:schemeClr>
                </a:solidFill>
                <a:latin typeface="+mn-lt"/>
                <a:ea typeface="+mn-ea"/>
                <a:cs typeface="+mn-cs"/>
              </a:defRPr>
            </a:pPr>
            <a:r>
              <a:rPr lang="en-US" b="1">
                <a:solidFill>
                  <a:schemeClr val="tx1">
                    <a:lumMod val="95000"/>
                    <a:lumOff val="5000"/>
                  </a:schemeClr>
                </a:solidFill>
              </a:rPr>
              <a:t>Sales</a:t>
            </a:r>
            <a:r>
              <a:rPr lang="en-US" b="1" baseline="0">
                <a:solidFill>
                  <a:schemeClr val="tx1">
                    <a:lumMod val="95000"/>
                    <a:lumOff val="5000"/>
                  </a:schemeClr>
                </a:solidFill>
              </a:rPr>
              <a:t> by Product</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95000"/>
                  <a:lumOff val="5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100000" b="100000"/>
              </a:path>
              <a:tileRect t="-100000" r="-100000"/>
            </a:gradFill>
            <a:round/>
          </a:ln>
          <a:effectLst>
            <a:glow rad="127000">
              <a:schemeClr val="accent1">
                <a:lumMod val="20000"/>
                <a:lumOff val="80000"/>
              </a:schemeClr>
            </a:glow>
            <a:outerShdw blurRad="50800" dist="50800" dir="5400000" algn="ctr" rotWithShape="0">
              <a:schemeClr val="accent1">
                <a:lumMod val="75000"/>
              </a:schemeClr>
            </a:outerShdw>
          </a:effectLst>
        </c:spPr>
        <c:marker>
          <c:symbol val="circle"/>
          <c:size val="4"/>
          <c:spPr>
            <a:solidFill>
              <a:schemeClr val="accent1"/>
            </a:solidFill>
            <a:ln w="9525" cap="flat" cmpd="sng" algn="ctr">
              <a:solidFill>
                <a:schemeClr val="accent1"/>
              </a:solidFill>
              <a:round/>
            </a:ln>
            <a:effectLst>
              <a:glow rad="127000">
                <a:schemeClr val="accent1">
                  <a:lumMod val="20000"/>
                  <a:lumOff val="80000"/>
                </a:schemeClr>
              </a:glow>
              <a:outerShdw blurRad="50800" dist="50800" dir="5400000" algn="ctr" rotWithShape="0">
                <a:schemeClr val="accent1">
                  <a:lumMod val="75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100000" b="100000"/>
              </a:path>
              <a:tileRect t="-100000" r="-100000"/>
            </a:gradFill>
            <a:round/>
          </a:ln>
          <a:effectLst>
            <a:glow rad="127000">
              <a:schemeClr val="accent1">
                <a:lumMod val="20000"/>
                <a:lumOff val="80000"/>
              </a:schemeClr>
            </a:glow>
            <a:outerShdw blurRad="50800" dist="50800" dir="5400000" algn="ctr" rotWithShape="0">
              <a:schemeClr val="accent1">
                <a:lumMod val="75000"/>
              </a:schemeClr>
            </a:outerShdw>
          </a:effectLst>
        </c:spPr>
        <c:marker>
          <c:symbol val="circle"/>
          <c:size val="4"/>
          <c:spPr>
            <a:solidFill>
              <a:schemeClr val="accent1"/>
            </a:solidFill>
            <a:ln w="9525" cap="flat" cmpd="sng" algn="ctr">
              <a:solidFill>
                <a:schemeClr val="accent1"/>
              </a:solidFill>
              <a:round/>
            </a:ln>
            <a:effectLst>
              <a:glow rad="127000">
                <a:schemeClr val="accent1">
                  <a:lumMod val="20000"/>
                  <a:lumOff val="80000"/>
                </a:schemeClr>
              </a:glow>
              <a:outerShdw blurRad="50800" dist="50800" dir="5400000" algn="ctr" rotWithShape="0">
                <a:schemeClr val="accent1">
                  <a:lumMod val="75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88568095654709"/>
          <c:y val="0.25393320003506564"/>
          <c:w val="0.78085505978419367"/>
          <c:h val="0.39297144725908278"/>
        </c:manualLayout>
      </c:layout>
      <c:lineChart>
        <c:grouping val="standard"/>
        <c:varyColors val="0"/>
        <c:ser>
          <c:idx val="0"/>
          <c:order val="0"/>
          <c:tx>
            <c:strRef>
              <c:f>'pivot table'!$B$13</c:f>
              <c:strCache>
                <c:ptCount val="1"/>
                <c:pt idx="0">
                  <c:v>Total</c:v>
                </c:pt>
              </c:strCache>
            </c:strRef>
          </c:tx>
          <c:spPr>
            <a:ln w="22225" cap="rnd" cmpd="sng" algn="ct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100000" b="100000"/>
                </a:path>
                <a:tileRect t="-100000" r="-100000"/>
              </a:gradFill>
              <a:round/>
            </a:ln>
            <a:effectLst>
              <a:glow rad="127000">
                <a:schemeClr val="accent1">
                  <a:lumMod val="20000"/>
                  <a:lumOff val="80000"/>
                </a:schemeClr>
              </a:glow>
              <a:outerShdw blurRad="50800" dist="50800" dir="5400000" algn="ctr" rotWithShape="0">
                <a:schemeClr val="accent1">
                  <a:lumMod val="75000"/>
                </a:schemeClr>
              </a:outerShdw>
            </a:effectLst>
          </c:spPr>
          <c:marker>
            <c:symbol val="circle"/>
            <c:size val="4"/>
            <c:spPr>
              <a:solidFill>
                <a:schemeClr val="accent1"/>
              </a:solidFill>
              <a:ln w="9525" cap="flat" cmpd="sng" algn="ctr">
                <a:solidFill>
                  <a:schemeClr val="accent1"/>
                </a:solidFill>
                <a:round/>
              </a:ln>
              <a:effectLst>
                <a:glow rad="127000">
                  <a:schemeClr val="accent1">
                    <a:lumMod val="20000"/>
                    <a:lumOff val="80000"/>
                  </a:schemeClr>
                </a:glow>
                <a:outerShdw blurRad="50800" dist="50800" dir="5400000" algn="ctr" rotWithShape="0">
                  <a:schemeClr val="accent1">
                    <a:lumMod val="75000"/>
                  </a:schemeClr>
                </a:outerShdw>
              </a:effectLst>
            </c:spPr>
          </c:marker>
          <c:dPt>
            <c:idx val="1"/>
            <c:marker>
              <c:symbol val="circle"/>
              <c:size val="4"/>
              <c:spPr>
                <a:solidFill>
                  <a:schemeClr val="accent1"/>
                </a:solidFill>
                <a:ln w="9525" cap="flat" cmpd="sng" algn="ctr">
                  <a:solidFill>
                    <a:schemeClr val="accent1"/>
                  </a:solidFill>
                  <a:round/>
                </a:ln>
                <a:effectLst>
                  <a:glow rad="127000">
                    <a:schemeClr val="accent1">
                      <a:lumMod val="20000"/>
                      <a:lumOff val="80000"/>
                    </a:schemeClr>
                  </a:glow>
                  <a:outerShdw blurRad="50800" dist="50800" dir="5400000" algn="ctr" rotWithShape="0">
                    <a:schemeClr val="accent1">
                      <a:lumMod val="75000"/>
                    </a:schemeClr>
                  </a:outerShdw>
                </a:effectLst>
              </c:spPr>
            </c:marker>
            <c:bubble3D val="0"/>
            <c:spPr>
              <a:ln w="22225" cap="rnd" cmpd="sng" algn="ct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100000" b="100000"/>
                  </a:path>
                  <a:tileRect t="-100000" r="-100000"/>
                </a:gradFill>
                <a:round/>
              </a:ln>
              <a:effectLst>
                <a:glow rad="127000">
                  <a:schemeClr val="accent1">
                    <a:lumMod val="20000"/>
                    <a:lumOff val="80000"/>
                  </a:schemeClr>
                </a:glow>
                <a:outerShdw blurRad="50800" dist="50800" dir="5400000" algn="ctr" rotWithShape="0">
                  <a:schemeClr val="accent1">
                    <a:lumMod val="75000"/>
                  </a:schemeClr>
                </a:outerShdw>
              </a:effectLst>
            </c:spPr>
            <c:extLst>
              <c:ext xmlns:c16="http://schemas.microsoft.com/office/drawing/2014/chart" uri="{C3380CC4-5D6E-409C-BE32-E72D297353CC}">
                <c16:uniqueId val="{00000000-8136-4141-8C17-7DE6D8E2C0E7}"/>
              </c:ext>
            </c:extLst>
          </c:dPt>
          <c:dLbls>
            <c:dLbl>
              <c:idx val="1"/>
              <c:delete val="1"/>
              <c:extLst>
                <c:ext xmlns:c15="http://schemas.microsoft.com/office/drawing/2012/chart" uri="{CE6537A1-D6FC-4f65-9D91-7224C49458BB}"/>
                <c:ext xmlns:c16="http://schemas.microsoft.com/office/drawing/2014/chart" uri="{C3380CC4-5D6E-409C-BE32-E72D297353CC}">
                  <c16:uniqueId val="{00000000-8136-4141-8C17-7DE6D8E2C0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table'!$A$14:$A$22</c:f>
              <c:strCache>
                <c:ptCount val="8"/>
                <c:pt idx="0">
                  <c:v>Camera</c:v>
                </c:pt>
                <c:pt idx="1">
                  <c:v>Fridge</c:v>
                </c:pt>
                <c:pt idx="2">
                  <c:v>Headphones</c:v>
                </c:pt>
                <c:pt idx="3">
                  <c:v>Jeans</c:v>
                </c:pt>
                <c:pt idx="4">
                  <c:v>Laptop</c:v>
                </c:pt>
                <c:pt idx="5">
                  <c:v>Microwave</c:v>
                </c:pt>
                <c:pt idx="6">
                  <c:v>Mobile</c:v>
                </c:pt>
                <c:pt idx="7">
                  <c:v>Shirt</c:v>
                </c:pt>
              </c:strCache>
            </c:strRef>
          </c:cat>
          <c:val>
            <c:numRef>
              <c:f>'pivot table'!$B$14:$B$22</c:f>
              <c:numCache>
                <c:formatCode>General</c:formatCode>
                <c:ptCount val="8"/>
                <c:pt idx="0">
                  <c:v>792076</c:v>
                </c:pt>
                <c:pt idx="1">
                  <c:v>1110088</c:v>
                </c:pt>
                <c:pt idx="2">
                  <c:v>909220</c:v>
                </c:pt>
                <c:pt idx="3">
                  <c:v>823974</c:v>
                </c:pt>
                <c:pt idx="4">
                  <c:v>965050</c:v>
                </c:pt>
                <c:pt idx="5">
                  <c:v>1010690</c:v>
                </c:pt>
                <c:pt idx="6">
                  <c:v>1202768</c:v>
                </c:pt>
                <c:pt idx="7">
                  <c:v>848919</c:v>
                </c:pt>
              </c:numCache>
            </c:numRef>
          </c:val>
          <c:smooth val="0"/>
          <c:extLst>
            <c:ext xmlns:c16="http://schemas.microsoft.com/office/drawing/2014/chart" uri="{C3380CC4-5D6E-409C-BE32-E72D297353CC}">
              <c16:uniqueId val="{00000000-06EB-4D36-B989-DAACC4B63D78}"/>
            </c:ext>
          </c:extLst>
        </c:ser>
        <c:dLbls>
          <c:dLblPos val="ctr"/>
          <c:showLegendKey val="0"/>
          <c:showVal val="1"/>
          <c:showCatName val="0"/>
          <c:showSerName val="0"/>
          <c:showPercent val="0"/>
          <c:showBubbleSize val="0"/>
        </c:dLbls>
        <c:dropLines>
          <c:spPr>
            <a:ln w="9525" cap="flat" cmpd="sng" algn="ct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round/>
            </a:ln>
            <a:effectLst/>
          </c:spPr>
        </c:dropLines>
        <c:marker val="1"/>
        <c:smooth val="0"/>
        <c:axId val="1848417152"/>
        <c:axId val="1848415904"/>
      </c:lineChart>
      <c:catAx>
        <c:axId val="18484171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48415904"/>
        <c:crosses val="autoZero"/>
        <c:auto val="1"/>
        <c:lblAlgn val="ctr"/>
        <c:lblOffset val="100"/>
        <c:noMultiLvlLbl val="0"/>
      </c:catAx>
      <c:valAx>
        <c:axId val="1848415904"/>
        <c:scaling>
          <c:orientation val="minMax"/>
        </c:scaling>
        <c:delete val="0"/>
        <c:axPos val="l"/>
        <c:numFmt formatCode="General" sourceLinked="1"/>
        <c:majorTickMark val="none"/>
        <c:minorTickMark val="none"/>
        <c:tickLblPos val="nextTo"/>
        <c:spPr>
          <a:noFill/>
          <a:ln>
            <a:noFill/>
          </a:ln>
          <a:effectLst>
            <a:outerShdw blurRad="50800" dist="50800" dir="5400000" sx="1000" sy="1000" algn="ctr" rotWithShape="0">
              <a:schemeClr val="accent2">
                <a:lumMod val="60000"/>
                <a:lumOff val="40000"/>
              </a:schemeClr>
            </a:outerShdw>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48417152"/>
        <c:crosses val="autoZero"/>
        <c:crossBetween val="between"/>
      </c:valAx>
      <c:spPr>
        <a:gradFill>
          <a:gsLst>
            <a:gs pos="100000">
              <a:schemeClr val="lt1">
                <a:lumMod val="95000"/>
              </a:schemeClr>
            </a:gs>
            <a:gs pos="0">
              <a:schemeClr val="lt1"/>
            </a:gs>
          </a:gsLst>
          <a:lin ang="5400000" scaled="0"/>
        </a:gradFill>
        <a:ln>
          <a:noFill/>
        </a:ln>
        <a:effectLst>
          <a:glow rad="88900">
            <a:schemeClr val="accent4">
              <a:lumMod val="40000"/>
              <a:lumOff val="60000"/>
            </a:schemeClr>
          </a:glow>
          <a:outerShdw blurRad="50800" dist="50800" dir="5400000" sx="89000" sy="89000" algn="ctr" rotWithShape="0">
            <a:srgbClr val="FF0000"/>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266700</xdr:colOff>
      <xdr:row>10</xdr:row>
      <xdr:rowOff>176212</xdr:rowOff>
    </xdr:from>
    <xdr:to>
      <xdr:col>11</xdr:col>
      <xdr:colOff>85725</xdr:colOff>
      <xdr:row>25</xdr:row>
      <xdr:rowOff>61912</xdr:rowOff>
    </xdr:to>
    <xdr:graphicFrame macro="">
      <xdr:nvGraphicFramePr>
        <xdr:cNvPr id="2" name="Chart 1">
          <a:extLst>
            <a:ext uri="{FF2B5EF4-FFF2-40B4-BE49-F238E27FC236}">
              <a16:creationId xmlns:a16="http://schemas.microsoft.com/office/drawing/2014/main" id="{8756CF39-3DB1-DF05-504C-BBF34A768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95250</xdr:rowOff>
    </xdr:from>
    <xdr:to>
      <xdr:col>20</xdr:col>
      <xdr:colOff>276225</xdr:colOff>
      <xdr:row>22</xdr:row>
      <xdr:rowOff>9525</xdr:rowOff>
    </xdr:to>
    <xdr:sp macro="" textlink="">
      <xdr:nvSpPr>
        <xdr:cNvPr id="2" name="Rectangle 1">
          <a:extLst>
            <a:ext uri="{FF2B5EF4-FFF2-40B4-BE49-F238E27FC236}">
              <a16:creationId xmlns:a16="http://schemas.microsoft.com/office/drawing/2014/main" id="{5AD97B7C-625D-4A76-B552-C693C987925B}"/>
            </a:ext>
          </a:extLst>
        </xdr:cNvPr>
        <xdr:cNvSpPr/>
      </xdr:nvSpPr>
      <xdr:spPr>
        <a:xfrm>
          <a:off x="95250" y="95250"/>
          <a:ext cx="12372975" cy="410527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161924</xdr:colOff>
      <xdr:row>0</xdr:row>
      <xdr:rowOff>133350</xdr:rowOff>
    </xdr:from>
    <xdr:to>
      <xdr:col>7</xdr:col>
      <xdr:colOff>247649</xdr:colOff>
      <xdr:row>3</xdr:row>
      <xdr:rowOff>142875</xdr:rowOff>
    </xdr:to>
    <xdr:sp macro="" textlink="">
      <xdr:nvSpPr>
        <xdr:cNvPr id="3" name="Rectangle 2">
          <a:extLst>
            <a:ext uri="{FF2B5EF4-FFF2-40B4-BE49-F238E27FC236}">
              <a16:creationId xmlns:a16="http://schemas.microsoft.com/office/drawing/2014/main" id="{50A9727D-8870-4D58-A7E7-45DC3305255D}"/>
            </a:ext>
          </a:extLst>
        </xdr:cNvPr>
        <xdr:cNvSpPr/>
      </xdr:nvSpPr>
      <xdr:spPr>
        <a:xfrm>
          <a:off x="161924" y="133350"/>
          <a:ext cx="4328680" cy="581025"/>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2">
                  <a:lumMod val="20000"/>
                  <a:lumOff val="80000"/>
                </a:schemeClr>
              </a:solidFill>
            </a:rPr>
            <a:t>Total Sales Of Data</a:t>
          </a:r>
        </a:p>
      </xdr:txBody>
    </xdr:sp>
    <xdr:clientData/>
  </xdr:twoCellAnchor>
  <xdr:twoCellAnchor>
    <xdr:from>
      <xdr:col>0</xdr:col>
      <xdr:colOff>142875</xdr:colOff>
      <xdr:row>9</xdr:row>
      <xdr:rowOff>133350</xdr:rowOff>
    </xdr:from>
    <xdr:to>
      <xdr:col>7</xdr:col>
      <xdr:colOff>257175</xdr:colOff>
      <xdr:row>21</xdr:row>
      <xdr:rowOff>152399</xdr:rowOff>
    </xdr:to>
    <xdr:sp macro="" textlink="">
      <xdr:nvSpPr>
        <xdr:cNvPr id="13" name="Rectangle 12">
          <a:extLst>
            <a:ext uri="{FF2B5EF4-FFF2-40B4-BE49-F238E27FC236}">
              <a16:creationId xmlns:a16="http://schemas.microsoft.com/office/drawing/2014/main" id="{26146750-CA6C-4968-B72C-44AF0399247F}"/>
            </a:ext>
          </a:extLst>
        </xdr:cNvPr>
        <xdr:cNvSpPr/>
      </xdr:nvSpPr>
      <xdr:spPr>
        <a:xfrm>
          <a:off x="142875" y="1847850"/>
          <a:ext cx="4381500" cy="2305049"/>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295275</xdr:colOff>
      <xdr:row>9</xdr:row>
      <xdr:rowOff>161925</xdr:rowOff>
    </xdr:from>
    <xdr:to>
      <xdr:col>14</xdr:col>
      <xdr:colOff>457200</xdr:colOff>
      <xdr:row>21</xdr:row>
      <xdr:rowOff>152400</xdr:rowOff>
    </xdr:to>
    <xdr:sp macro="" textlink="">
      <xdr:nvSpPr>
        <xdr:cNvPr id="14" name="Rectangle 13">
          <a:extLst>
            <a:ext uri="{FF2B5EF4-FFF2-40B4-BE49-F238E27FC236}">
              <a16:creationId xmlns:a16="http://schemas.microsoft.com/office/drawing/2014/main" id="{4A8A894F-D4AD-4D3D-AC0C-2A55644E2F24}"/>
            </a:ext>
          </a:extLst>
        </xdr:cNvPr>
        <xdr:cNvSpPr/>
      </xdr:nvSpPr>
      <xdr:spPr>
        <a:xfrm>
          <a:off x="4562475" y="1876425"/>
          <a:ext cx="4429125" cy="2276475"/>
        </a:xfrm>
        <a:prstGeom prst="rect">
          <a:avLst/>
        </a:prstGeo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22225" cap="sq" cmpd="thinThick">
          <a:solidFill>
            <a:schemeClr val="accent1">
              <a:shade val="50000"/>
            </a:schemeClr>
          </a:solidFill>
          <a:prstDash val="solid"/>
          <a:round/>
          <a:extLst>
            <a:ext uri="{C807C97D-BFC1-408E-A445-0C87EB9F89A2}">
              <ask:lineSketchStyleProps xmlns:ask="http://schemas.microsoft.com/office/drawing/2018/sketchyshapes" sd="1219033472">
                <a:custGeom>
                  <a:avLst/>
                  <a:gdLst>
                    <a:gd name="connsiteX0" fmla="*/ 0 w 4429125"/>
                    <a:gd name="connsiteY0" fmla="*/ 0 h 2181224"/>
                    <a:gd name="connsiteX1" fmla="*/ 4429125 w 4429125"/>
                    <a:gd name="connsiteY1" fmla="*/ 0 h 2181224"/>
                    <a:gd name="connsiteX2" fmla="*/ 4429125 w 4429125"/>
                    <a:gd name="connsiteY2" fmla="*/ 2181224 h 2181224"/>
                    <a:gd name="connsiteX3" fmla="*/ 0 w 4429125"/>
                    <a:gd name="connsiteY3" fmla="*/ 2181224 h 2181224"/>
                    <a:gd name="connsiteX4" fmla="*/ 0 w 4429125"/>
                    <a:gd name="connsiteY4" fmla="*/ 0 h 218122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429125" h="2181224" fill="none" extrusionOk="0">
                      <a:moveTo>
                        <a:pt x="0" y="0"/>
                      </a:moveTo>
                      <a:cubicBezTo>
                        <a:pt x="2041661" y="-49533"/>
                        <a:pt x="3610583" y="-14809"/>
                        <a:pt x="4429125" y="0"/>
                      </a:cubicBezTo>
                      <a:cubicBezTo>
                        <a:pt x="4516764" y="461272"/>
                        <a:pt x="4356446" y="1408751"/>
                        <a:pt x="4429125" y="2181224"/>
                      </a:cubicBezTo>
                      <a:cubicBezTo>
                        <a:pt x="2480593" y="2132993"/>
                        <a:pt x="624138" y="2265679"/>
                        <a:pt x="0" y="2181224"/>
                      </a:cubicBezTo>
                      <a:cubicBezTo>
                        <a:pt x="-38581" y="1403524"/>
                        <a:pt x="63341" y="1087806"/>
                        <a:pt x="0" y="0"/>
                      </a:cubicBezTo>
                      <a:close/>
                    </a:path>
                    <a:path w="4429125" h="2181224" stroke="0" extrusionOk="0">
                      <a:moveTo>
                        <a:pt x="0" y="0"/>
                      </a:moveTo>
                      <a:cubicBezTo>
                        <a:pt x="1170480" y="118645"/>
                        <a:pt x="3526816" y="116012"/>
                        <a:pt x="4429125" y="0"/>
                      </a:cubicBezTo>
                      <a:cubicBezTo>
                        <a:pt x="4296243" y="760356"/>
                        <a:pt x="4514076" y="1658634"/>
                        <a:pt x="4429125" y="2181224"/>
                      </a:cubicBezTo>
                      <a:cubicBezTo>
                        <a:pt x="2704758" y="2315824"/>
                        <a:pt x="1737458" y="2024028"/>
                        <a:pt x="0" y="2181224"/>
                      </a:cubicBezTo>
                      <a:cubicBezTo>
                        <a:pt x="-20187" y="1527138"/>
                        <a:pt x="-152480" y="424424"/>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514350</xdr:colOff>
      <xdr:row>0</xdr:row>
      <xdr:rowOff>152400</xdr:rowOff>
    </xdr:from>
    <xdr:to>
      <xdr:col>20</xdr:col>
      <xdr:colOff>219075</xdr:colOff>
      <xdr:row>11</xdr:row>
      <xdr:rowOff>0</xdr:rowOff>
    </xdr:to>
    <xdr:sp macro="" textlink="">
      <xdr:nvSpPr>
        <xdr:cNvPr id="15" name="Rectangle 14">
          <a:extLst>
            <a:ext uri="{FF2B5EF4-FFF2-40B4-BE49-F238E27FC236}">
              <a16:creationId xmlns:a16="http://schemas.microsoft.com/office/drawing/2014/main" id="{CD34E6CD-3026-45F1-B6F1-C4F113FD061B}"/>
            </a:ext>
          </a:extLst>
        </xdr:cNvPr>
        <xdr:cNvSpPr/>
      </xdr:nvSpPr>
      <xdr:spPr>
        <a:xfrm>
          <a:off x="9048750" y="152400"/>
          <a:ext cx="3362325" cy="1943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514350</xdr:colOff>
      <xdr:row>11</xdr:row>
      <xdr:rowOff>95250</xdr:rowOff>
    </xdr:from>
    <xdr:to>
      <xdr:col>20</xdr:col>
      <xdr:colOff>209550</xdr:colOff>
      <xdr:row>21</xdr:row>
      <xdr:rowOff>133350</xdr:rowOff>
    </xdr:to>
    <xdr:sp macro="" textlink="">
      <xdr:nvSpPr>
        <xdr:cNvPr id="17" name="Rectangle 16">
          <a:extLst>
            <a:ext uri="{FF2B5EF4-FFF2-40B4-BE49-F238E27FC236}">
              <a16:creationId xmlns:a16="http://schemas.microsoft.com/office/drawing/2014/main" id="{5BEC367A-4D27-45CF-AA4D-9A85389CA6A7}"/>
            </a:ext>
          </a:extLst>
        </xdr:cNvPr>
        <xdr:cNvSpPr/>
      </xdr:nvSpPr>
      <xdr:spPr>
        <a:xfrm>
          <a:off x="9048750" y="2190750"/>
          <a:ext cx="3352800" cy="1943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161925</xdr:colOff>
      <xdr:row>4</xdr:row>
      <xdr:rowOff>0</xdr:rowOff>
    </xdr:from>
    <xdr:to>
      <xdr:col>2</xdr:col>
      <xdr:colOff>333374</xdr:colOff>
      <xdr:row>9</xdr:row>
      <xdr:rowOff>85725</xdr:rowOff>
    </xdr:to>
    <xdr:sp macro="" textlink="">
      <xdr:nvSpPr>
        <xdr:cNvPr id="18" name="Rectangle 17">
          <a:extLst>
            <a:ext uri="{FF2B5EF4-FFF2-40B4-BE49-F238E27FC236}">
              <a16:creationId xmlns:a16="http://schemas.microsoft.com/office/drawing/2014/main" id="{8B098121-015C-4436-B74B-B3E6A62527F8}"/>
            </a:ext>
          </a:extLst>
        </xdr:cNvPr>
        <xdr:cNvSpPr/>
      </xdr:nvSpPr>
      <xdr:spPr>
        <a:xfrm>
          <a:off x="161925" y="762000"/>
          <a:ext cx="1390649" cy="103822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sng"/>
        </a:p>
      </xdr:txBody>
    </xdr:sp>
    <xdr:clientData/>
  </xdr:twoCellAnchor>
  <xdr:twoCellAnchor>
    <xdr:from>
      <xdr:col>2</xdr:col>
      <xdr:colOff>419100</xdr:colOff>
      <xdr:row>3</xdr:row>
      <xdr:rowOff>180975</xdr:rowOff>
    </xdr:from>
    <xdr:to>
      <xdr:col>4</xdr:col>
      <xdr:colOff>590549</xdr:colOff>
      <xdr:row>9</xdr:row>
      <xdr:rowOff>85726</xdr:rowOff>
    </xdr:to>
    <xdr:sp macro="" textlink="">
      <xdr:nvSpPr>
        <xdr:cNvPr id="21" name="Rectangle 20">
          <a:extLst>
            <a:ext uri="{FF2B5EF4-FFF2-40B4-BE49-F238E27FC236}">
              <a16:creationId xmlns:a16="http://schemas.microsoft.com/office/drawing/2014/main" id="{920BEFBE-3CD0-42F2-8BBA-11D06C9466D7}"/>
            </a:ext>
          </a:extLst>
        </xdr:cNvPr>
        <xdr:cNvSpPr/>
      </xdr:nvSpPr>
      <xdr:spPr>
        <a:xfrm>
          <a:off x="1638300" y="752475"/>
          <a:ext cx="1390649" cy="104775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57150</xdr:colOff>
      <xdr:row>3</xdr:row>
      <xdr:rowOff>180975</xdr:rowOff>
    </xdr:from>
    <xdr:to>
      <xdr:col>7</xdr:col>
      <xdr:colOff>228599</xdr:colOff>
      <xdr:row>9</xdr:row>
      <xdr:rowOff>95251</xdr:rowOff>
    </xdr:to>
    <xdr:sp macro="" textlink="">
      <xdr:nvSpPr>
        <xdr:cNvPr id="22" name="Rectangle 21">
          <a:extLst>
            <a:ext uri="{FF2B5EF4-FFF2-40B4-BE49-F238E27FC236}">
              <a16:creationId xmlns:a16="http://schemas.microsoft.com/office/drawing/2014/main" id="{B29627AC-1445-41C8-AE74-EA0729B0CBE1}"/>
            </a:ext>
          </a:extLst>
        </xdr:cNvPr>
        <xdr:cNvSpPr/>
      </xdr:nvSpPr>
      <xdr:spPr>
        <a:xfrm>
          <a:off x="3105150" y="752475"/>
          <a:ext cx="1390649" cy="1057276"/>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295140</xdr:colOff>
      <xdr:row>0</xdr:row>
      <xdr:rowOff>161925</xdr:rowOff>
    </xdr:from>
    <xdr:to>
      <xdr:col>11</xdr:col>
      <xdr:colOff>38100</xdr:colOff>
      <xdr:row>9</xdr:row>
      <xdr:rowOff>104775</xdr:rowOff>
    </xdr:to>
    <xdr:sp macro="" textlink="">
      <xdr:nvSpPr>
        <xdr:cNvPr id="23" name="Rectangle 22">
          <a:extLst>
            <a:ext uri="{FF2B5EF4-FFF2-40B4-BE49-F238E27FC236}">
              <a16:creationId xmlns:a16="http://schemas.microsoft.com/office/drawing/2014/main" id="{732F789D-0138-407F-9453-91FEC1FA230A}"/>
            </a:ext>
          </a:extLst>
        </xdr:cNvPr>
        <xdr:cNvSpPr/>
      </xdr:nvSpPr>
      <xdr:spPr>
        <a:xfrm>
          <a:off x="4567975" y="161925"/>
          <a:ext cx="2184579" cy="16332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85726</xdr:colOff>
      <xdr:row>0</xdr:row>
      <xdr:rowOff>161926</xdr:rowOff>
    </xdr:from>
    <xdr:to>
      <xdr:col>14</xdr:col>
      <xdr:colOff>432955</xdr:colOff>
      <xdr:row>9</xdr:row>
      <xdr:rowOff>104775</xdr:rowOff>
    </xdr:to>
    <xdr:sp macro="" textlink="">
      <xdr:nvSpPr>
        <xdr:cNvPr id="24" name="Rectangle 23">
          <a:extLst>
            <a:ext uri="{FF2B5EF4-FFF2-40B4-BE49-F238E27FC236}">
              <a16:creationId xmlns:a16="http://schemas.microsoft.com/office/drawing/2014/main" id="{49469A8B-1C94-4A6C-A547-FB3ACA783244}"/>
            </a:ext>
          </a:extLst>
        </xdr:cNvPr>
        <xdr:cNvSpPr/>
      </xdr:nvSpPr>
      <xdr:spPr>
        <a:xfrm>
          <a:off x="6753226" y="161926"/>
          <a:ext cx="2165638" cy="165734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224039</xdr:colOff>
      <xdr:row>4</xdr:row>
      <xdr:rowOff>70566</xdr:rowOff>
    </xdr:from>
    <xdr:to>
      <xdr:col>2</xdr:col>
      <xdr:colOff>281189</xdr:colOff>
      <xdr:row>6</xdr:row>
      <xdr:rowOff>80091</xdr:rowOff>
    </xdr:to>
    <xdr:sp macro="" textlink="">
      <xdr:nvSpPr>
        <xdr:cNvPr id="25" name="Rectangle 24">
          <a:extLst>
            <a:ext uri="{FF2B5EF4-FFF2-40B4-BE49-F238E27FC236}">
              <a16:creationId xmlns:a16="http://schemas.microsoft.com/office/drawing/2014/main" id="{8F95D5D0-7EF2-4E9E-A700-F9E2C5C3CBA9}"/>
            </a:ext>
          </a:extLst>
        </xdr:cNvPr>
        <xdr:cNvSpPr/>
      </xdr:nvSpPr>
      <xdr:spPr>
        <a:xfrm>
          <a:off x="224039" y="821834"/>
          <a:ext cx="1277960" cy="385158"/>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b="1">
              <a:solidFill>
                <a:schemeClr val="bg1"/>
              </a:solidFill>
              <a:latin typeface="+mn-lt"/>
              <a:ea typeface="+mn-ea"/>
              <a:cs typeface="+mn-cs"/>
            </a:rPr>
            <a:t>Total Sales</a:t>
          </a:r>
        </a:p>
      </xdr:txBody>
    </xdr:sp>
    <xdr:clientData/>
  </xdr:twoCellAnchor>
  <xdr:twoCellAnchor>
    <xdr:from>
      <xdr:col>0</xdr:col>
      <xdr:colOff>236379</xdr:colOff>
      <xdr:row>7</xdr:row>
      <xdr:rowOff>19988</xdr:rowOff>
    </xdr:from>
    <xdr:to>
      <xdr:col>2</xdr:col>
      <xdr:colOff>293529</xdr:colOff>
      <xdr:row>9</xdr:row>
      <xdr:rowOff>26830</xdr:rowOff>
    </xdr:to>
    <xdr:sp macro="" textlink="'pivot table'!I3">
      <xdr:nvSpPr>
        <xdr:cNvPr id="26" name="Rectangle 25">
          <a:extLst>
            <a:ext uri="{FF2B5EF4-FFF2-40B4-BE49-F238E27FC236}">
              <a16:creationId xmlns:a16="http://schemas.microsoft.com/office/drawing/2014/main" id="{B332ABA5-A2DB-4CD7-B591-348A0C61496C}"/>
            </a:ext>
          </a:extLst>
        </xdr:cNvPr>
        <xdr:cNvSpPr/>
      </xdr:nvSpPr>
      <xdr:spPr>
        <a:xfrm>
          <a:off x="236379" y="1334706"/>
          <a:ext cx="1277960" cy="382476"/>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BAE1044-9B9F-4CC9-AA8C-67441ED9B826}" type="TxLink">
            <a:rPr lang="en-US" sz="1400" b="1" i="0" u="none" strike="noStrike">
              <a:solidFill>
                <a:srgbClr val="000000"/>
              </a:solidFill>
              <a:latin typeface="Calibri"/>
              <a:ea typeface="Calibri"/>
              <a:cs typeface="Calibri"/>
            </a:rPr>
            <a:pPr marL="0" indent="0" algn="ctr"/>
            <a:t>7662785</a:t>
          </a:fld>
          <a:endParaRPr lang="en-US"/>
        </a:p>
      </xdr:txBody>
    </xdr:sp>
    <xdr:clientData/>
  </xdr:twoCellAnchor>
  <xdr:twoCellAnchor>
    <xdr:from>
      <xdr:col>2</xdr:col>
      <xdr:colOff>466725</xdr:colOff>
      <xdr:row>4</xdr:row>
      <xdr:rowOff>47625</xdr:rowOff>
    </xdr:from>
    <xdr:to>
      <xdr:col>4</xdr:col>
      <xdr:colOff>523875</xdr:colOff>
      <xdr:row>6</xdr:row>
      <xdr:rowOff>57150</xdr:rowOff>
    </xdr:to>
    <xdr:sp macro="" textlink="">
      <xdr:nvSpPr>
        <xdr:cNvPr id="27" name="Rectangle 26">
          <a:extLst>
            <a:ext uri="{FF2B5EF4-FFF2-40B4-BE49-F238E27FC236}">
              <a16:creationId xmlns:a16="http://schemas.microsoft.com/office/drawing/2014/main" id="{AF63DC00-77F2-4DE5-B4DD-7E6A4156C69A}"/>
            </a:ext>
          </a:extLst>
        </xdr:cNvPr>
        <xdr:cNvSpPr/>
      </xdr:nvSpPr>
      <xdr:spPr>
        <a:xfrm>
          <a:off x="1685925" y="809625"/>
          <a:ext cx="1276350" cy="390525"/>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b="1">
              <a:solidFill>
                <a:schemeClr val="bg1"/>
              </a:solidFill>
              <a:latin typeface="+mn-lt"/>
              <a:ea typeface="+mn-ea"/>
              <a:cs typeface="+mn-cs"/>
            </a:rPr>
            <a:t>Total Profit</a:t>
          </a:r>
        </a:p>
      </xdr:txBody>
    </xdr:sp>
    <xdr:clientData/>
  </xdr:twoCellAnchor>
  <xdr:twoCellAnchor>
    <xdr:from>
      <xdr:col>2</xdr:col>
      <xdr:colOff>466725</xdr:colOff>
      <xdr:row>7</xdr:row>
      <xdr:rowOff>0</xdr:rowOff>
    </xdr:from>
    <xdr:to>
      <xdr:col>4</xdr:col>
      <xdr:colOff>523875</xdr:colOff>
      <xdr:row>9</xdr:row>
      <xdr:rowOff>9525</xdr:rowOff>
    </xdr:to>
    <xdr:sp macro="" textlink="'pivot table'!I4">
      <xdr:nvSpPr>
        <xdr:cNvPr id="28" name="Rectangle 27">
          <a:extLst>
            <a:ext uri="{FF2B5EF4-FFF2-40B4-BE49-F238E27FC236}">
              <a16:creationId xmlns:a16="http://schemas.microsoft.com/office/drawing/2014/main" id="{031F1467-8A1E-4ED1-89A4-AC82A7AAF945}"/>
            </a:ext>
          </a:extLst>
        </xdr:cNvPr>
        <xdr:cNvSpPr/>
      </xdr:nvSpPr>
      <xdr:spPr>
        <a:xfrm>
          <a:off x="1685925" y="1333500"/>
          <a:ext cx="1276350" cy="390525"/>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4DC6077-50DC-4BF9-B82A-F3D0327A17C5}" type="TxLink">
            <a:rPr lang="en-US" sz="1400" b="1" i="0" u="none" strike="noStrike">
              <a:solidFill>
                <a:srgbClr val="000000"/>
              </a:solidFill>
              <a:latin typeface="Calibri"/>
              <a:ea typeface="Calibri"/>
              <a:cs typeface="Calibri"/>
            </a:rPr>
            <a:pPr marL="0" indent="0" algn="ctr"/>
            <a:t>1532557</a:t>
          </a:fld>
          <a:endParaRPr lang="en-IN" sz="1800" b="1">
            <a:solidFill>
              <a:schemeClr val="bg1"/>
            </a:solidFill>
            <a:latin typeface="+mn-lt"/>
            <a:ea typeface="+mn-ea"/>
            <a:cs typeface="+mn-cs"/>
          </a:endParaRPr>
        </a:p>
      </xdr:txBody>
    </xdr:sp>
    <xdr:clientData/>
  </xdr:twoCellAnchor>
  <xdr:twoCellAnchor>
    <xdr:from>
      <xdr:col>5</xdr:col>
      <xdr:colOff>104775</xdr:colOff>
      <xdr:row>4</xdr:row>
      <xdr:rowOff>47625</xdr:rowOff>
    </xdr:from>
    <xdr:to>
      <xdr:col>7</xdr:col>
      <xdr:colOff>161925</xdr:colOff>
      <xdr:row>6</xdr:row>
      <xdr:rowOff>57150</xdr:rowOff>
    </xdr:to>
    <xdr:sp macro="" textlink="">
      <xdr:nvSpPr>
        <xdr:cNvPr id="29" name="Rectangle 28">
          <a:extLst>
            <a:ext uri="{FF2B5EF4-FFF2-40B4-BE49-F238E27FC236}">
              <a16:creationId xmlns:a16="http://schemas.microsoft.com/office/drawing/2014/main" id="{B457C60D-AA45-4F60-9D47-C5E15C3DF74D}"/>
            </a:ext>
          </a:extLst>
        </xdr:cNvPr>
        <xdr:cNvSpPr/>
      </xdr:nvSpPr>
      <xdr:spPr>
        <a:xfrm>
          <a:off x="3152775" y="809625"/>
          <a:ext cx="1276350" cy="390525"/>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b="1">
              <a:solidFill>
                <a:schemeClr val="bg1"/>
              </a:solidFill>
              <a:latin typeface="+mn-lt"/>
              <a:ea typeface="+mn-ea"/>
              <a:cs typeface="+mn-cs"/>
            </a:rPr>
            <a:t>QTY</a:t>
          </a:r>
        </a:p>
      </xdr:txBody>
    </xdr:sp>
    <xdr:clientData/>
  </xdr:twoCellAnchor>
  <xdr:twoCellAnchor>
    <xdr:from>
      <xdr:col>5</xdr:col>
      <xdr:colOff>104775</xdr:colOff>
      <xdr:row>7</xdr:row>
      <xdr:rowOff>0</xdr:rowOff>
    </xdr:from>
    <xdr:to>
      <xdr:col>7</xdr:col>
      <xdr:colOff>161925</xdr:colOff>
      <xdr:row>9</xdr:row>
      <xdr:rowOff>9525</xdr:rowOff>
    </xdr:to>
    <xdr:sp macro="" textlink="'pivot table'!I5">
      <xdr:nvSpPr>
        <xdr:cNvPr id="32" name="Rectangle 31">
          <a:extLst>
            <a:ext uri="{FF2B5EF4-FFF2-40B4-BE49-F238E27FC236}">
              <a16:creationId xmlns:a16="http://schemas.microsoft.com/office/drawing/2014/main" id="{73D705ED-42D7-41D8-842B-E7C514739305}"/>
            </a:ext>
          </a:extLst>
        </xdr:cNvPr>
        <xdr:cNvSpPr/>
      </xdr:nvSpPr>
      <xdr:spPr>
        <a:xfrm>
          <a:off x="3152775" y="1333500"/>
          <a:ext cx="1276350" cy="390525"/>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82EA31-EB30-4CAF-98B8-B67779C0D9CB}" type="TxLink">
            <a:rPr lang="en-US" sz="1400" b="1" i="0" u="none" strike="noStrike">
              <a:solidFill>
                <a:srgbClr val="000000"/>
              </a:solidFill>
              <a:latin typeface="Calibri"/>
              <a:ea typeface="Calibri"/>
              <a:cs typeface="Calibri"/>
            </a:rPr>
            <a:pPr marL="0" indent="0" algn="ctr"/>
            <a:t>1484</a:t>
          </a:fld>
          <a:endParaRPr lang="en-IN" sz="1800" b="1">
            <a:solidFill>
              <a:schemeClr val="bg1"/>
            </a:solidFill>
            <a:latin typeface="+mn-lt"/>
            <a:ea typeface="+mn-ea"/>
            <a:cs typeface="+mn-cs"/>
          </a:endParaRPr>
        </a:p>
      </xdr:txBody>
    </xdr:sp>
    <xdr:clientData/>
  </xdr:twoCellAnchor>
  <xdr:twoCellAnchor>
    <xdr:from>
      <xdr:col>0</xdr:col>
      <xdr:colOff>171450</xdr:colOff>
      <xdr:row>9</xdr:row>
      <xdr:rowOff>180975</xdr:rowOff>
    </xdr:from>
    <xdr:to>
      <xdr:col>7</xdr:col>
      <xdr:colOff>228600</xdr:colOff>
      <xdr:row>21</xdr:row>
      <xdr:rowOff>123825</xdr:rowOff>
    </xdr:to>
    <xdr:graphicFrame macro="">
      <xdr:nvGraphicFramePr>
        <xdr:cNvPr id="33" name="Chart 32">
          <a:extLst>
            <a:ext uri="{FF2B5EF4-FFF2-40B4-BE49-F238E27FC236}">
              <a16:creationId xmlns:a16="http://schemas.microsoft.com/office/drawing/2014/main" id="{6E71858B-ED9B-4593-A0DB-E45E01B4B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333374</xdr:colOff>
      <xdr:row>9</xdr:row>
      <xdr:rowOff>190499</xdr:rowOff>
    </xdr:from>
    <xdr:to>
      <xdr:col>14</xdr:col>
      <xdr:colOff>409575</xdr:colOff>
      <xdr:row>21</xdr:row>
      <xdr:rowOff>123824</xdr:rowOff>
    </xdr:to>
    <xdr:graphicFrame macro="">
      <xdr:nvGraphicFramePr>
        <xdr:cNvPr id="38" name="Chart 37">
          <a:extLst>
            <a:ext uri="{FF2B5EF4-FFF2-40B4-BE49-F238E27FC236}">
              <a16:creationId xmlns:a16="http://schemas.microsoft.com/office/drawing/2014/main" id="{B518E9D6-1FF6-4F6B-A5FB-BDFD58361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561976</xdr:colOff>
      <xdr:row>1</xdr:row>
      <xdr:rowOff>0</xdr:rowOff>
    </xdr:from>
    <xdr:to>
      <xdr:col>20</xdr:col>
      <xdr:colOff>171450</xdr:colOff>
      <xdr:row>10</xdr:row>
      <xdr:rowOff>161925</xdr:rowOff>
    </xdr:to>
    <xdr:graphicFrame macro="">
      <xdr:nvGraphicFramePr>
        <xdr:cNvPr id="39" name="Chart 38">
          <a:extLst>
            <a:ext uri="{FF2B5EF4-FFF2-40B4-BE49-F238E27FC236}">
              <a16:creationId xmlns:a16="http://schemas.microsoft.com/office/drawing/2014/main" id="{3DF14156-EC78-4F32-8072-311B6E9B8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542926</xdr:colOff>
      <xdr:row>11</xdr:row>
      <xdr:rowOff>123824</xdr:rowOff>
    </xdr:from>
    <xdr:to>
      <xdr:col>20</xdr:col>
      <xdr:colOff>180976</xdr:colOff>
      <xdr:row>21</xdr:row>
      <xdr:rowOff>95249</xdr:rowOff>
    </xdr:to>
    <xdr:graphicFrame macro="">
      <xdr:nvGraphicFramePr>
        <xdr:cNvPr id="40" name="Chart 39">
          <a:extLst>
            <a:ext uri="{FF2B5EF4-FFF2-40B4-BE49-F238E27FC236}">
              <a16:creationId xmlns:a16="http://schemas.microsoft.com/office/drawing/2014/main" id="{470937FA-8E58-4756-858B-E41FB1EF8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328679</xdr:colOff>
      <xdr:row>1</xdr:row>
      <xdr:rowOff>6709</xdr:rowOff>
    </xdr:from>
    <xdr:to>
      <xdr:col>11</xdr:col>
      <xdr:colOff>13416</xdr:colOff>
      <xdr:row>9</xdr:row>
      <xdr:rowOff>82909</xdr:rowOff>
    </xdr:to>
    <mc:AlternateContent xmlns:mc="http://schemas.openxmlformats.org/markup-compatibility/2006" xmlns:a14="http://schemas.microsoft.com/office/drawing/2010/main">
      <mc:Choice Requires="a14">
        <xdr:graphicFrame macro="">
          <xdr:nvGraphicFramePr>
            <xdr:cNvPr id="42" name="Region 2">
              <a:extLst>
                <a:ext uri="{FF2B5EF4-FFF2-40B4-BE49-F238E27FC236}">
                  <a16:creationId xmlns:a16="http://schemas.microsoft.com/office/drawing/2014/main" id="{F607F3CE-F8C7-49F6-9FB3-8E83D35A5E1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601514" y="194526"/>
              <a:ext cx="2126356" cy="1578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226001</xdr:colOff>
      <xdr:row>0</xdr:row>
      <xdr:rowOff>162572</xdr:rowOff>
    </xdr:from>
    <xdr:to>
      <xdr:col>14</xdr:col>
      <xdr:colOff>363681</xdr:colOff>
      <xdr:row>9</xdr:row>
      <xdr:rowOff>41564</xdr:rowOff>
    </xdr:to>
    <mc:AlternateContent xmlns:mc="http://schemas.openxmlformats.org/markup-compatibility/2006">
      <mc:Choice xmlns:a14="http://schemas.microsoft.com/office/drawing/2010/main" Requires="a14">
        <xdr:graphicFrame macro="">
          <xdr:nvGraphicFramePr>
            <xdr:cNvPr id="43" name="Category 1">
              <a:extLst>
                <a:ext uri="{FF2B5EF4-FFF2-40B4-BE49-F238E27FC236}">
                  <a16:creationId xmlns:a16="http://schemas.microsoft.com/office/drawing/2014/main" id="{7397734F-CD31-4E37-A19F-CF470BEBAD8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893501" y="162572"/>
              <a:ext cx="1956089" cy="1593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6.916486111113" createdVersion="7" refreshedVersion="7" minRefreshableVersion="3" recordCount="300" xr:uid="{21EF9C02-2E31-4E68-A94F-C0BC0ECDF504}">
  <cacheSource type="worksheet">
    <worksheetSource name="Table1"/>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ount="9">
        <n v="1"/>
        <n v="6"/>
        <n v="5"/>
        <n v="4"/>
        <n v="3"/>
        <n v="2"/>
        <n v="8"/>
        <n v="7"/>
        <n v="9"/>
      </sharedItems>
    </cacheField>
    <cacheField name="Sales"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805514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x v="0"/>
    <n v="13875"/>
    <x v="0"/>
    <n v="13875"/>
    <n v="2775"/>
  </r>
  <r>
    <s v="Sneha"/>
    <x v="1"/>
    <x v="1"/>
    <x v="1"/>
    <x v="1"/>
    <n v="2622"/>
    <x v="1"/>
    <n v="15732"/>
    <n v="524.4"/>
  </r>
  <r>
    <s v="Anita"/>
    <x v="0"/>
    <x v="2"/>
    <x v="2"/>
    <x v="2"/>
    <n v="49756"/>
    <x v="2"/>
    <n v="248780"/>
    <n v="9951.2000000000007"/>
  </r>
  <r>
    <s v="Karan"/>
    <x v="0"/>
    <x v="3"/>
    <x v="3"/>
    <x v="3"/>
    <n v="41809"/>
    <x v="3"/>
    <n v="167236"/>
    <n v="8361.7999999999993"/>
  </r>
  <r>
    <s v="Vikas"/>
    <x v="2"/>
    <x v="2"/>
    <x v="2"/>
    <x v="4"/>
    <n v="17725"/>
    <x v="4"/>
    <n v="53175"/>
    <n v="3545"/>
  </r>
  <r>
    <s v="Neha"/>
    <x v="0"/>
    <x v="3"/>
    <x v="0"/>
    <x v="0"/>
    <n v="41760"/>
    <x v="5"/>
    <n v="41760"/>
    <n v="8352"/>
  </r>
  <r>
    <s v="Ravi"/>
    <x v="3"/>
    <x v="0"/>
    <x v="0"/>
    <x v="1"/>
    <n v="16646"/>
    <x v="6"/>
    <n v="99876"/>
    <n v="3329.2"/>
  </r>
  <r>
    <s v="Vikas"/>
    <x v="3"/>
    <x v="3"/>
    <x v="0"/>
    <x v="5"/>
    <n v="18029"/>
    <x v="7"/>
    <n v="36058"/>
    <n v="3605.8"/>
  </r>
  <r>
    <s v="Anita"/>
    <x v="1"/>
    <x v="0"/>
    <x v="4"/>
    <x v="6"/>
    <n v="30402"/>
    <x v="8"/>
    <n v="243216"/>
    <n v="6080.4"/>
  </r>
  <r>
    <s v="Karan"/>
    <x v="0"/>
    <x v="3"/>
    <x v="4"/>
    <x v="2"/>
    <n v="5263"/>
    <x v="9"/>
    <n v="26315"/>
    <n v="1052.5999999999999"/>
  </r>
  <r>
    <s v="Sneha"/>
    <x v="1"/>
    <x v="0"/>
    <x v="5"/>
    <x v="7"/>
    <n v="31987"/>
    <x v="10"/>
    <n v="223909"/>
    <n v="6397.4"/>
  </r>
  <r>
    <s v="Anita"/>
    <x v="3"/>
    <x v="3"/>
    <x v="5"/>
    <x v="5"/>
    <n v="47828"/>
    <x v="11"/>
    <n v="95656"/>
    <n v="9565.6"/>
  </r>
  <r>
    <s v="Anita"/>
    <x v="0"/>
    <x v="1"/>
    <x v="0"/>
    <x v="6"/>
    <n v="48924"/>
    <x v="12"/>
    <n v="391392"/>
    <n v="9784.7999999999993"/>
  </r>
  <r>
    <s v="Ravi"/>
    <x v="0"/>
    <x v="3"/>
    <x v="1"/>
    <x v="5"/>
    <n v="9646"/>
    <x v="13"/>
    <n v="19292"/>
    <n v="1929.2"/>
  </r>
  <r>
    <s v="Pooja"/>
    <x v="1"/>
    <x v="3"/>
    <x v="6"/>
    <x v="3"/>
    <n v="28529"/>
    <x v="14"/>
    <n v="114116"/>
    <n v="5705.8"/>
  </r>
  <r>
    <s v="Karan"/>
    <x v="3"/>
    <x v="1"/>
    <x v="4"/>
    <x v="0"/>
    <n v="12664"/>
    <x v="15"/>
    <n v="12664"/>
    <n v="2532.8000000000002"/>
  </r>
  <r>
    <s v="Priya"/>
    <x v="0"/>
    <x v="2"/>
    <x v="1"/>
    <x v="2"/>
    <n v="36737"/>
    <x v="16"/>
    <n v="183685"/>
    <n v="7347.4"/>
  </r>
  <r>
    <s v="Anita"/>
    <x v="1"/>
    <x v="2"/>
    <x v="7"/>
    <x v="8"/>
    <n v="36796"/>
    <x v="17"/>
    <n v="331164"/>
    <n v="7359.2"/>
  </r>
  <r>
    <s v="Pooja"/>
    <x v="3"/>
    <x v="3"/>
    <x v="4"/>
    <x v="0"/>
    <n v="25027"/>
    <x v="18"/>
    <n v="25027"/>
    <n v="5005.3999999999996"/>
  </r>
  <r>
    <s v="Priya"/>
    <x v="1"/>
    <x v="1"/>
    <x v="4"/>
    <x v="8"/>
    <n v="30373"/>
    <x v="19"/>
    <n v="273357"/>
    <n v="6074.6"/>
  </r>
  <r>
    <s v="Karan"/>
    <x v="2"/>
    <x v="3"/>
    <x v="5"/>
    <x v="6"/>
    <n v="37397"/>
    <x v="20"/>
    <n v="299176"/>
    <n v="7479.4"/>
  </r>
  <r>
    <s v="Amit"/>
    <x v="0"/>
    <x v="0"/>
    <x v="6"/>
    <x v="1"/>
    <n v="21609"/>
    <x v="21"/>
    <n v="129654"/>
    <n v="4321.8"/>
  </r>
  <r>
    <s v="Neha"/>
    <x v="2"/>
    <x v="0"/>
    <x v="6"/>
    <x v="7"/>
    <n v="36835"/>
    <x v="22"/>
    <n v="257845"/>
    <n v="7367"/>
  </r>
  <r>
    <s v="Pooja"/>
    <x v="3"/>
    <x v="3"/>
    <x v="3"/>
    <x v="4"/>
    <n v="39709"/>
    <x v="23"/>
    <n v="119127"/>
    <n v="7941.8"/>
  </r>
  <r>
    <s v="Deepak"/>
    <x v="2"/>
    <x v="2"/>
    <x v="2"/>
    <x v="0"/>
    <n v="20250"/>
    <x v="24"/>
    <n v="20250"/>
    <n v="4050"/>
  </r>
  <r>
    <s v="Amit"/>
    <x v="2"/>
    <x v="2"/>
    <x v="2"/>
    <x v="2"/>
    <n v="22172"/>
    <x v="25"/>
    <n v="110860"/>
    <n v="4434.3999999999996"/>
  </r>
  <r>
    <s v="Neha"/>
    <x v="3"/>
    <x v="3"/>
    <x v="2"/>
    <x v="5"/>
    <n v="12555"/>
    <x v="26"/>
    <n v="25110"/>
    <n v="2511"/>
  </r>
  <r>
    <s v="Ravi"/>
    <x v="1"/>
    <x v="3"/>
    <x v="2"/>
    <x v="2"/>
    <n v="22874"/>
    <x v="27"/>
    <n v="114370"/>
    <n v="4574.8"/>
  </r>
  <r>
    <s v="Vikas"/>
    <x v="2"/>
    <x v="0"/>
    <x v="7"/>
    <x v="6"/>
    <n v="14081"/>
    <x v="28"/>
    <n v="112648"/>
    <n v="2816.2"/>
  </r>
  <r>
    <s v="Sneha"/>
    <x v="1"/>
    <x v="2"/>
    <x v="7"/>
    <x v="8"/>
    <n v="25063"/>
    <x v="29"/>
    <n v="225567"/>
    <n v="5012.6000000000004"/>
  </r>
  <r>
    <s v="Deepak"/>
    <x v="2"/>
    <x v="3"/>
    <x v="4"/>
    <x v="5"/>
    <n v="7819"/>
    <x v="30"/>
    <n v="15638"/>
    <n v="1563.8"/>
  </r>
  <r>
    <s v="Ravi"/>
    <x v="1"/>
    <x v="0"/>
    <x v="0"/>
    <x v="4"/>
    <n v="26712"/>
    <x v="31"/>
    <n v="80136"/>
    <n v="5342.4"/>
  </r>
  <r>
    <s v="Karan"/>
    <x v="3"/>
    <x v="2"/>
    <x v="5"/>
    <x v="4"/>
    <n v="25762"/>
    <x v="32"/>
    <n v="77286"/>
    <n v="5152.3999999999996"/>
  </r>
  <r>
    <s v="Ravi"/>
    <x v="2"/>
    <x v="1"/>
    <x v="5"/>
    <x v="0"/>
    <n v="12046"/>
    <x v="33"/>
    <n v="12046"/>
    <n v="2409.1999999999998"/>
  </r>
  <r>
    <s v="Vikas"/>
    <x v="3"/>
    <x v="0"/>
    <x v="2"/>
    <x v="6"/>
    <n v="32463"/>
    <x v="34"/>
    <n v="259704"/>
    <n v="6492.6"/>
  </r>
  <r>
    <s v="Karan"/>
    <x v="2"/>
    <x v="2"/>
    <x v="4"/>
    <x v="1"/>
    <n v="29769"/>
    <x v="35"/>
    <n v="178614"/>
    <n v="5953.8"/>
  </r>
  <r>
    <s v="Deepak"/>
    <x v="3"/>
    <x v="2"/>
    <x v="3"/>
    <x v="6"/>
    <n v="24150"/>
    <x v="36"/>
    <n v="193200"/>
    <n v="4830"/>
  </r>
  <r>
    <s v="Vikas"/>
    <x v="3"/>
    <x v="0"/>
    <x v="1"/>
    <x v="8"/>
    <n v="3711"/>
    <x v="37"/>
    <n v="33399"/>
    <n v="742.2"/>
  </r>
  <r>
    <s v="Priya"/>
    <x v="2"/>
    <x v="1"/>
    <x v="0"/>
    <x v="2"/>
    <n v="5853"/>
    <x v="38"/>
    <n v="29265"/>
    <n v="1170.5999999999999"/>
  </r>
  <r>
    <s v="Sneha"/>
    <x v="2"/>
    <x v="0"/>
    <x v="4"/>
    <x v="4"/>
    <n v="30077"/>
    <x v="39"/>
    <n v="90231"/>
    <n v="6015.4"/>
  </r>
  <r>
    <s v="Deepak"/>
    <x v="2"/>
    <x v="2"/>
    <x v="0"/>
    <x v="2"/>
    <n v="24863"/>
    <x v="40"/>
    <n v="124315"/>
    <n v="4972.6000000000004"/>
  </r>
  <r>
    <s v="Priya"/>
    <x v="0"/>
    <x v="3"/>
    <x v="0"/>
    <x v="2"/>
    <n v="22792"/>
    <x v="41"/>
    <n v="113960"/>
    <n v="4558.3999999999996"/>
  </r>
  <r>
    <s v="Neha"/>
    <x v="1"/>
    <x v="3"/>
    <x v="0"/>
    <x v="2"/>
    <n v="41483"/>
    <x v="42"/>
    <n v="207415"/>
    <n v="8296.6"/>
  </r>
  <r>
    <s v="Deepak"/>
    <x v="0"/>
    <x v="0"/>
    <x v="4"/>
    <x v="4"/>
    <n v="9942"/>
    <x v="43"/>
    <n v="29826"/>
    <n v="1988.4"/>
  </r>
  <r>
    <s v="Neha"/>
    <x v="0"/>
    <x v="2"/>
    <x v="2"/>
    <x v="3"/>
    <n v="49275"/>
    <x v="44"/>
    <n v="197100"/>
    <n v="9855"/>
  </r>
  <r>
    <s v="Karan"/>
    <x v="3"/>
    <x v="3"/>
    <x v="5"/>
    <x v="8"/>
    <n v="49594"/>
    <x v="45"/>
    <n v="446346"/>
    <n v="9918.7999999999993"/>
  </r>
  <r>
    <s v="Priya"/>
    <x v="2"/>
    <x v="2"/>
    <x v="5"/>
    <x v="8"/>
    <n v="2762"/>
    <x v="46"/>
    <n v="24858"/>
    <n v="552.4"/>
  </r>
  <r>
    <s v="Sneha"/>
    <x v="1"/>
    <x v="0"/>
    <x v="2"/>
    <x v="5"/>
    <n v="32987"/>
    <x v="47"/>
    <n v="65974"/>
    <n v="6597.4"/>
  </r>
  <r>
    <s v="Vikas"/>
    <x v="3"/>
    <x v="3"/>
    <x v="0"/>
    <x v="6"/>
    <n v="16850"/>
    <x v="48"/>
    <n v="134800"/>
    <n v="3370"/>
  </r>
  <r>
    <s v="Anita"/>
    <x v="0"/>
    <x v="2"/>
    <x v="1"/>
    <x v="6"/>
    <n v="13112"/>
    <x v="49"/>
    <n v="104896"/>
    <n v="2622.4"/>
  </r>
  <r>
    <s v="Ravi"/>
    <x v="2"/>
    <x v="3"/>
    <x v="6"/>
    <x v="7"/>
    <n v="25058"/>
    <x v="50"/>
    <n v="175406"/>
    <n v="5011.6000000000004"/>
  </r>
  <r>
    <s v="Amit"/>
    <x v="3"/>
    <x v="0"/>
    <x v="4"/>
    <x v="6"/>
    <n v="46420"/>
    <x v="51"/>
    <n v="371360"/>
    <n v="9284"/>
  </r>
  <r>
    <s v="Sneha"/>
    <x v="2"/>
    <x v="2"/>
    <x v="6"/>
    <x v="4"/>
    <n v="39890"/>
    <x v="52"/>
    <n v="119670"/>
    <n v="7978"/>
  </r>
  <r>
    <s v="Priya"/>
    <x v="3"/>
    <x v="3"/>
    <x v="3"/>
    <x v="1"/>
    <n v="1481"/>
    <x v="53"/>
    <n v="8886"/>
    <n v="296.2"/>
  </r>
  <r>
    <s v="Anita"/>
    <x v="2"/>
    <x v="0"/>
    <x v="2"/>
    <x v="0"/>
    <n v="48304"/>
    <x v="54"/>
    <n v="48304"/>
    <n v="9660.7999999999993"/>
  </r>
  <r>
    <s v="Sneha"/>
    <x v="0"/>
    <x v="3"/>
    <x v="1"/>
    <x v="7"/>
    <n v="33921"/>
    <x v="55"/>
    <n v="237447"/>
    <n v="6784.2"/>
  </r>
  <r>
    <s v="Priya"/>
    <x v="1"/>
    <x v="3"/>
    <x v="4"/>
    <x v="0"/>
    <n v="41385"/>
    <x v="56"/>
    <n v="41385"/>
    <n v="8277"/>
  </r>
  <r>
    <s v="Pooja"/>
    <x v="0"/>
    <x v="1"/>
    <x v="2"/>
    <x v="8"/>
    <n v="2524"/>
    <x v="57"/>
    <n v="22716"/>
    <n v="504.8"/>
  </r>
  <r>
    <s v="Pooja"/>
    <x v="1"/>
    <x v="1"/>
    <x v="0"/>
    <x v="0"/>
    <n v="35888"/>
    <x v="58"/>
    <n v="35888"/>
    <n v="7177.6"/>
  </r>
  <r>
    <s v="Neha"/>
    <x v="2"/>
    <x v="0"/>
    <x v="5"/>
    <x v="0"/>
    <n v="16048"/>
    <x v="59"/>
    <n v="16048"/>
    <n v="3209.6"/>
  </r>
  <r>
    <s v="Sneha"/>
    <x v="3"/>
    <x v="1"/>
    <x v="6"/>
    <x v="7"/>
    <n v="36111"/>
    <x v="60"/>
    <n v="252777"/>
    <n v="7222.2"/>
  </r>
  <r>
    <s v="Pooja"/>
    <x v="0"/>
    <x v="0"/>
    <x v="7"/>
    <x v="5"/>
    <n v="38904"/>
    <x v="61"/>
    <n v="77808"/>
    <n v="7780.8"/>
  </r>
  <r>
    <s v="Priya"/>
    <x v="1"/>
    <x v="1"/>
    <x v="7"/>
    <x v="2"/>
    <n v="35008"/>
    <x v="62"/>
    <n v="175040"/>
    <n v="7001.6"/>
  </r>
  <r>
    <s v="Neha"/>
    <x v="0"/>
    <x v="3"/>
    <x v="1"/>
    <x v="6"/>
    <n v="1060"/>
    <x v="63"/>
    <n v="8480"/>
    <n v="212"/>
  </r>
  <r>
    <s v="Priya"/>
    <x v="1"/>
    <x v="0"/>
    <x v="0"/>
    <x v="6"/>
    <n v="10130"/>
    <x v="64"/>
    <n v="81040"/>
    <n v="2026"/>
  </r>
  <r>
    <s v="Neha"/>
    <x v="0"/>
    <x v="0"/>
    <x v="3"/>
    <x v="4"/>
    <n v="19023"/>
    <x v="65"/>
    <n v="57069"/>
    <n v="3804.6"/>
  </r>
  <r>
    <s v="Sneha"/>
    <x v="1"/>
    <x v="3"/>
    <x v="6"/>
    <x v="7"/>
    <n v="46080"/>
    <x v="66"/>
    <n v="322560"/>
    <n v="9216"/>
  </r>
  <r>
    <s v="Anita"/>
    <x v="1"/>
    <x v="0"/>
    <x v="0"/>
    <x v="4"/>
    <n v="14350"/>
    <x v="67"/>
    <n v="43050"/>
    <n v="2870"/>
  </r>
  <r>
    <s v="Vikas"/>
    <x v="2"/>
    <x v="0"/>
    <x v="6"/>
    <x v="1"/>
    <n v="25354"/>
    <x v="68"/>
    <n v="152124"/>
    <n v="5070.8"/>
  </r>
  <r>
    <s v="Deepak"/>
    <x v="1"/>
    <x v="1"/>
    <x v="1"/>
    <x v="1"/>
    <n v="46186"/>
    <x v="69"/>
    <n v="277116"/>
    <n v="9237.2000000000007"/>
  </r>
  <r>
    <s v="Anita"/>
    <x v="2"/>
    <x v="0"/>
    <x v="1"/>
    <x v="4"/>
    <n v="29145"/>
    <x v="70"/>
    <n v="87435"/>
    <n v="5829"/>
  </r>
  <r>
    <s v="Karan"/>
    <x v="1"/>
    <x v="2"/>
    <x v="3"/>
    <x v="7"/>
    <n v="35020"/>
    <x v="71"/>
    <n v="245140"/>
    <n v="7004"/>
  </r>
  <r>
    <s v="Priya"/>
    <x v="3"/>
    <x v="3"/>
    <x v="7"/>
    <x v="4"/>
    <n v="21587"/>
    <x v="72"/>
    <n v="64761"/>
    <n v="4317.3999999999996"/>
  </r>
  <r>
    <s v="Karan"/>
    <x v="3"/>
    <x v="1"/>
    <x v="0"/>
    <x v="6"/>
    <n v="42131"/>
    <x v="73"/>
    <n v="337048"/>
    <n v="8426.2000000000007"/>
  </r>
  <r>
    <s v="Anita"/>
    <x v="3"/>
    <x v="1"/>
    <x v="4"/>
    <x v="3"/>
    <n v="10650"/>
    <x v="74"/>
    <n v="42600"/>
    <n v="2130"/>
  </r>
  <r>
    <s v="Neha"/>
    <x v="1"/>
    <x v="2"/>
    <x v="7"/>
    <x v="0"/>
    <n v="20933"/>
    <x v="75"/>
    <n v="20933"/>
    <n v="4186.6000000000004"/>
  </r>
  <r>
    <s v="Deepak"/>
    <x v="2"/>
    <x v="3"/>
    <x v="0"/>
    <x v="3"/>
    <n v="21581"/>
    <x v="76"/>
    <n v="86324"/>
    <n v="4316.2"/>
  </r>
  <r>
    <s v="Deepak"/>
    <x v="2"/>
    <x v="3"/>
    <x v="7"/>
    <x v="7"/>
    <n v="24393"/>
    <x v="77"/>
    <n v="170751"/>
    <n v="4878.6000000000004"/>
  </r>
  <r>
    <s v="Amit"/>
    <x v="1"/>
    <x v="1"/>
    <x v="4"/>
    <x v="3"/>
    <n v="24051"/>
    <x v="78"/>
    <n v="96204"/>
    <n v="4810.2"/>
  </r>
  <r>
    <s v="Deepak"/>
    <x v="3"/>
    <x v="0"/>
    <x v="5"/>
    <x v="1"/>
    <n v="27212"/>
    <x v="79"/>
    <n v="163272"/>
    <n v="5442.4"/>
  </r>
  <r>
    <s v="Vikas"/>
    <x v="3"/>
    <x v="1"/>
    <x v="5"/>
    <x v="8"/>
    <n v="5090"/>
    <x v="80"/>
    <n v="45810"/>
    <n v="1018"/>
  </r>
  <r>
    <s v="Deepak"/>
    <x v="2"/>
    <x v="3"/>
    <x v="3"/>
    <x v="0"/>
    <n v="7960"/>
    <x v="81"/>
    <n v="7960"/>
    <n v="1592"/>
  </r>
  <r>
    <s v="Anita"/>
    <x v="3"/>
    <x v="2"/>
    <x v="5"/>
    <x v="2"/>
    <n v="36772"/>
    <x v="82"/>
    <n v="183860"/>
    <n v="7354.4"/>
  </r>
  <r>
    <s v="Amit"/>
    <x v="0"/>
    <x v="1"/>
    <x v="5"/>
    <x v="7"/>
    <n v="22520"/>
    <x v="83"/>
    <n v="157640"/>
    <n v="4504"/>
  </r>
  <r>
    <s v="Anita"/>
    <x v="2"/>
    <x v="3"/>
    <x v="2"/>
    <x v="0"/>
    <n v="37408"/>
    <x v="84"/>
    <n v="37408"/>
    <n v="7481.6"/>
  </r>
  <r>
    <s v="Anita"/>
    <x v="3"/>
    <x v="1"/>
    <x v="6"/>
    <x v="3"/>
    <n v="29470"/>
    <x v="85"/>
    <n v="117880"/>
    <n v="5894"/>
  </r>
  <r>
    <s v="Ravi"/>
    <x v="2"/>
    <x v="0"/>
    <x v="2"/>
    <x v="1"/>
    <n v="21491"/>
    <x v="86"/>
    <n v="128946"/>
    <n v="4298.2"/>
  </r>
  <r>
    <s v="Amit"/>
    <x v="0"/>
    <x v="1"/>
    <x v="2"/>
    <x v="5"/>
    <n v="2341"/>
    <x v="87"/>
    <n v="4682"/>
    <n v="468.2"/>
  </r>
  <r>
    <s v="Anita"/>
    <x v="2"/>
    <x v="1"/>
    <x v="3"/>
    <x v="2"/>
    <n v="45623"/>
    <x v="88"/>
    <n v="228115"/>
    <n v="9124.6"/>
  </r>
  <r>
    <s v="Ravi"/>
    <x v="2"/>
    <x v="3"/>
    <x v="2"/>
    <x v="0"/>
    <n v="25791"/>
    <x v="89"/>
    <n v="25791"/>
    <n v="5158.2"/>
  </r>
  <r>
    <s v="Ravi"/>
    <x v="2"/>
    <x v="3"/>
    <x v="5"/>
    <x v="1"/>
    <n v="1338"/>
    <x v="90"/>
    <n v="8028"/>
    <n v="267.60000000000002"/>
  </r>
  <r>
    <s v="Amit"/>
    <x v="2"/>
    <x v="3"/>
    <x v="4"/>
    <x v="1"/>
    <n v="6895"/>
    <x v="91"/>
    <n v="41370"/>
    <n v="1379"/>
  </r>
  <r>
    <s v="Karan"/>
    <x v="0"/>
    <x v="1"/>
    <x v="3"/>
    <x v="3"/>
    <n v="13254"/>
    <x v="92"/>
    <n v="53016"/>
    <n v="2650.8"/>
  </r>
  <r>
    <s v="Neha"/>
    <x v="1"/>
    <x v="0"/>
    <x v="3"/>
    <x v="6"/>
    <n v="12344"/>
    <x v="93"/>
    <n v="98752"/>
    <n v="2468.8000000000002"/>
  </r>
  <r>
    <s v="Vikas"/>
    <x v="2"/>
    <x v="2"/>
    <x v="1"/>
    <x v="3"/>
    <n v="2750"/>
    <x v="94"/>
    <n v="11000"/>
    <n v="550"/>
  </r>
  <r>
    <s v="Neha"/>
    <x v="2"/>
    <x v="2"/>
    <x v="3"/>
    <x v="6"/>
    <n v="3421"/>
    <x v="95"/>
    <n v="27368"/>
    <n v="684.2"/>
  </r>
  <r>
    <s v="Deepak"/>
    <x v="3"/>
    <x v="3"/>
    <x v="1"/>
    <x v="6"/>
    <n v="40887"/>
    <x v="96"/>
    <n v="327096"/>
    <n v="8177.4"/>
  </r>
  <r>
    <s v="Vikas"/>
    <x v="2"/>
    <x v="3"/>
    <x v="3"/>
    <x v="2"/>
    <n v="6319"/>
    <x v="97"/>
    <n v="31595"/>
    <n v="1263.8"/>
  </r>
  <r>
    <s v="Deepak"/>
    <x v="3"/>
    <x v="1"/>
    <x v="6"/>
    <x v="3"/>
    <n v="16896"/>
    <x v="98"/>
    <n v="67584"/>
    <n v="3379.2"/>
  </r>
  <r>
    <s v="Anita"/>
    <x v="1"/>
    <x v="2"/>
    <x v="5"/>
    <x v="5"/>
    <n v="12918"/>
    <x v="99"/>
    <n v="25836"/>
    <n v="2583.6"/>
  </r>
  <r>
    <s v="Priya"/>
    <x v="0"/>
    <x v="3"/>
    <x v="3"/>
    <x v="4"/>
    <n v="26064"/>
    <x v="100"/>
    <n v="78192"/>
    <n v="5212.8"/>
  </r>
  <r>
    <s v="Amit"/>
    <x v="0"/>
    <x v="0"/>
    <x v="5"/>
    <x v="4"/>
    <n v="47617"/>
    <x v="101"/>
    <n v="142851"/>
    <n v="9523.4"/>
  </r>
  <r>
    <s v="Vikas"/>
    <x v="1"/>
    <x v="0"/>
    <x v="5"/>
    <x v="3"/>
    <n v="28935"/>
    <x v="102"/>
    <n v="115740"/>
    <n v="5787"/>
  </r>
  <r>
    <s v="Vikas"/>
    <x v="0"/>
    <x v="3"/>
    <x v="7"/>
    <x v="3"/>
    <n v="38641"/>
    <x v="103"/>
    <n v="154564"/>
    <n v="7728.2"/>
  </r>
  <r>
    <s v="Anita"/>
    <x v="1"/>
    <x v="3"/>
    <x v="3"/>
    <x v="2"/>
    <n v="30711"/>
    <x v="104"/>
    <n v="153555"/>
    <n v="6142.2"/>
  </r>
  <r>
    <s v="Karan"/>
    <x v="1"/>
    <x v="2"/>
    <x v="0"/>
    <x v="3"/>
    <n v="5806"/>
    <x v="105"/>
    <n v="23224"/>
    <n v="1161.2"/>
  </r>
  <r>
    <s v="Ravi"/>
    <x v="1"/>
    <x v="2"/>
    <x v="7"/>
    <x v="6"/>
    <n v="42360"/>
    <x v="106"/>
    <n v="338880"/>
    <n v="8472"/>
  </r>
  <r>
    <s v="Anita"/>
    <x v="0"/>
    <x v="1"/>
    <x v="0"/>
    <x v="1"/>
    <n v="13182"/>
    <x v="107"/>
    <n v="79092"/>
    <n v="2636.4"/>
  </r>
  <r>
    <s v="Pooja"/>
    <x v="3"/>
    <x v="2"/>
    <x v="5"/>
    <x v="1"/>
    <n v="23297"/>
    <x v="108"/>
    <n v="139782"/>
    <n v="4659.3999999999996"/>
  </r>
  <r>
    <s v="Ravi"/>
    <x v="1"/>
    <x v="0"/>
    <x v="5"/>
    <x v="6"/>
    <n v="20541"/>
    <x v="109"/>
    <n v="164328"/>
    <n v="4108.2"/>
  </r>
  <r>
    <s v="Amit"/>
    <x v="2"/>
    <x v="0"/>
    <x v="7"/>
    <x v="7"/>
    <n v="29921"/>
    <x v="110"/>
    <n v="209447"/>
    <n v="5984.2"/>
  </r>
  <r>
    <s v="Ravi"/>
    <x v="0"/>
    <x v="3"/>
    <x v="7"/>
    <x v="6"/>
    <n v="17774"/>
    <x v="111"/>
    <n v="142192"/>
    <n v="3554.8"/>
  </r>
  <r>
    <s v="Karan"/>
    <x v="1"/>
    <x v="2"/>
    <x v="0"/>
    <x v="5"/>
    <n v="45813"/>
    <x v="112"/>
    <n v="91626"/>
    <n v="9162.6"/>
  </r>
  <r>
    <s v="Ravi"/>
    <x v="1"/>
    <x v="1"/>
    <x v="1"/>
    <x v="8"/>
    <n v="38198"/>
    <x v="113"/>
    <n v="343782"/>
    <n v="7639.6"/>
  </r>
  <r>
    <s v="Amit"/>
    <x v="2"/>
    <x v="0"/>
    <x v="0"/>
    <x v="0"/>
    <n v="9820"/>
    <x v="114"/>
    <n v="9820"/>
    <n v="1964"/>
  </r>
  <r>
    <s v="Karan"/>
    <x v="3"/>
    <x v="0"/>
    <x v="7"/>
    <x v="6"/>
    <n v="25070"/>
    <x v="115"/>
    <n v="200560"/>
    <n v="5014"/>
  </r>
  <r>
    <s v="Neha"/>
    <x v="3"/>
    <x v="1"/>
    <x v="4"/>
    <x v="3"/>
    <n v="5232"/>
    <x v="116"/>
    <n v="20928"/>
    <n v="1046.4000000000001"/>
  </r>
  <r>
    <s v="Vikas"/>
    <x v="3"/>
    <x v="1"/>
    <x v="7"/>
    <x v="3"/>
    <n v="12122"/>
    <x v="117"/>
    <n v="48488"/>
    <n v="2424.4"/>
  </r>
  <r>
    <s v="Vikas"/>
    <x v="1"/>
    <x v="0"/>
    <x v="4"/>
    <x v="2"/>
    <n v="16023"/>
    <x v="118"/>
    <n v="80115"/>
    <n v="3204.6"/>
  </r>
  <r>
    <s v="Deepak"/>
    <x v="1"/>
    <x v="0"/>
    <x v="6"/>
    <x v="6"/>
    <n v="9007"/>
    <x v="119"/>
    <n v="72056"/>
    <n v="1801.4"/>
  </r>
  <r>
    <s v="Neha"/>
    <x v="1"/>
    <x v="1"/>
    <x v="7"/>
    <x v="2"/>
    <n v="18905"/>
    <x v="120"/>
    <n v="94525"/>
    <n v="3781"/>
  </r>
  <r>
    <s v="Neha"/>
    <x v="0"/>
    <x v="0"/>
    <x v="6"/>
    <x v="6"/>
    <n v="42786"/>
    <x v="121"/>
    <n v="342288"/>
    <n v="8557.2000000000007"/>
  </r>
  <r>
    <s v="Ravi"/>
    <x v="2"/>
    <x v="3"/>
    <x v="1"/>
    <x v="0"/>
    <n v="30398"/>
    <x v="122"/>
    <n v="30398"/>
    <n v="6079.6"/>
  </r>
  <r>
    <s v="Vikas"/>
    <x v="1"/>
    <x v="3"/>
    <x v="0"/>
    <x v="8"/>
    <n v="35268"/>
    <x v="123"/>
    <n v="317412"/>
    <n v="7053.6"/>
  </r>
  <r>
    <s v="Amit"/>
    <x v="2"/>
    <x v="1"/>
    <x v="4"/>
    <x v="1"/>
    <n v="7737"/>
    <x v="124"/>
    <n v="46422"/>
    <n v="1547.4"/>
  </r>
  <r>
    <s v="Sneha"/>
    <x v="2"/>
    <x v="2"/>
    <x v="0"/>
    <x v="4"/>
    <n v="37062"/>
    <x v="125"/>
    <n v="111186"/>
    <n v="7412.4"/>
  </r>
  <r>
    <s v="Sneha"/>
    <x v="3"/>
    <x v="1"/>
    <x v="6"/>
    <x v="6"/>
    <n v="26510"/>
    <x v="126"/>
    <n v="212080"/>
    <n v="5302"/>
  </r>
  <r>
    <s v="Karan"/>
    <x v="0"/>
    <x v="1"/>
    <x v="4"/>
    <x v="8"/>
    <n v="20426"/>
    <x v="127"/>
    <n v="183834"/>
    <n v="4085.2"/>
  </r>
  <r>
    <s v="Vikas"/>
    <x v="1"/>
    <x v="2"/>
    <x v="0"/>
    <x v="1"/>
    <n v="38265"/>
    <x v="128"/>
    <n v="229590"/>
    <n v="7653"/>
  </r>
  <r>
    <s v="Vikas"/>
    <x v="3"/>
    <x v="2"/>
    <x v="7"/>
    <x v="7"/>
    <n v="18850"/>
    <x v="129"/>
    <n v="131950"/>
    <n v="3770"/>
  </r>
  <r>
    <s v="Sneha"/>
    <x v="3"/>
    <x v="2"/>
    <x v="5"/>
    <x v="0"/>
    <n v="1614"/>
    <x v="130"/>
    <n v="1614"/>
    <n v="322.8"/>
  </r>
  <r>
    <s v="Vikas"/>
    <x v="1"/>
    <x v="3"/>
    <x v="6"/>
    <x v="2"/>
    <n v="22776"/>
    <x v="131"/>
    <n v="113880"/>
    <n v="4555.2"/>
  </r>
  <r>
    <s v="Ravi"/>
    <x v="2"/>
    <x v="0"/>
    <x v="0"/>
    <x v="2"/>
    <n v="25077"/>
    <x v="132"/>
    <n v="125385"/>
    <n v="5015.3999999999996"/>
  </r>
  <r>
    <s v="Pooja"/>
    <x v="3"/>
    <x v="3"/>
    <x v="6"/>
    <x v="3"/>
    <n v="10374"/>
    <x v="133"/>
    <n v="41496"/>
    <n v="2074.8000000000002"/>
  </r>
  <r>
    <s v="Priya"/>
    <x v="2"/>
    <x v="0"/>
    <x v="2"/>
    <x v="1"/>
    <n v="36435"/>
    <x v="134"/>
    <n v="218610"/>
    <n v="7287"/>
  </r>
  <r>
    <s v="Neha"/>
    <x v="0"/>
    <x v="3"/>
    <x v="6"/>
    <x v="7"/>
    <n v="31907"/>
    <x v="135"/>
    <n v="223349"/>
    <n v="6381.4"/>
  </r>
  <r>
    <s v="Deepak"/>
    <x v="2"/>
    <x v="0"/>
    <x v="4"/>
    <x v="8"/>
    <n v="14409"/>
    <x v="136"/>
    <n v="129681"/>
    <n v="2881.8"/>
  </r>
  <r>
    <s v="Karan"/>
    <x v="0"/>
    <x v="3"/>
    <x v="2"/>
    <x v="0"/>
    <n v="17514"/>
    <x v="137"/>
    <n v="17514"/>
    <n v="3502.8"/>
  </r>
  <r>
    <s v="Pooja"/>
    <x v="2"/>
    <x v="2"/>
    <x v="3"/>
    <x v="1"/>
    <n v="30866"/>
    <x v="138"/>
    <n v="185196"/>
    <n v="6173.2"/>
  </r>
  <r>
    <s v="Sneha"/>
    <x v="3"/>
    <x v="1"/>
    <x v="4"/>
    <x v="7"/>
    <n v="3983"/>
    <x v="139"/>
    <n v="27881"/>
    <n v="796.6"/>
  </r>
  <r>
    <s v="Neha"/>
    <x v="3"/>
    <x v="3"/>
    <x v="5"/>
    <x v="4"/>
    <n v="32705"/>
    <x v="140"/>
    <n v="98115"/>
    <n v="6541"/>
  </r>
  <r>
    <s v="Vikas"/>
    <x v="0"/>
    <x v="0"/>
    <x v="2"/>
    <x v="6"/>
    <n v="21662"/>
    <x v="141"/>
    <n v="173296"/>
    <n v="4332.3999999999996"/>
  </r>
  <r>
    <s v="Deepak"/>
    <x v="1"/>
    <x v="2"/>
    <x v="3"/>
    <x v="2"/>
    <n v="24510"/>
    <x v="142"/>
    <n v="122550"/>
    <n v="4902"/>
  </r>
  <r>
    <s v="Vikas"/>
    <x v="0"/>
    <x v="3"/>
    <x v="7"/>
    <x v="8"/>
    <n v="13651"/>
    <x v="143"/>
    <n v="122859"/>
    <n v="2730.2"/>
  </r>
  <r>
    <s v="Amit"/>
    <x v="0"/>
    <x v="3"/>
    <x v="6"/>
    <x v="2"/>
    <n v="41998"/>
    <x v="144"/>
    <n v="209990"/>
    <n v="8399.6"/>
  </r>
  <r>
    <s v="Amit"/>
    <x v="2"/>
    <x v="2"/>
    <x v="0"/>
    <x v="8"/>
    <n v="29535"/>
    <x v="145"/>
    <n v="265815"/>
    <n v="5907"/>
  </r>
  <r>
    <s v="Deepak"/>
    <x v="2"/>
    <x v="3"/>
    <x v="1"/>
    <x v="3"/>
    <n v="7640"/>
    <x v="146"/>
    <n v="30560"/>
    <n v="1528"/>
  </r>
  <r>
    <s v="Deepak"/>
    <x v="0"/>
    <x v="1"/>
    <x v="6"/>
    <x v="8"/>
    <n v="45547"/>
    <x v="147"/>
    <n v="409923"/>
    <n v="9109.4"/>
  </r>
  <r>
    <s v="Sneha"/>
    <x v="3"/>
    <x v="3"/>
    <x v="3"/>
    <x v="2"/>
    <n v="16317"/>
    <x v="148"/>
    <n v="81585"/>
    <n v="3263.4"/>
  </r>
  <r>
    <s v="Deepak"/>
    <x v="2"/>
    <x v="1"/>
    <x v="6"/>
    <x v="8"/>
    <n v="8564"/>
    <x v="149"/>
    <n v="77076"/>
    <n v="1712.8"/>
  </r>
  <r>
    <s v="Ravi"/>
    <x v="1"/>
    <x v="1"/>
    <x v="5"/>
    <x v="4"/>
    <n v="28345"/>
    <x v="150"/>
    <n v="85035"/>
    <n v="5669"/>
  </r>
  <r>
    <s v="Vikas"/>
    <x v="2"/>
    <x v="2"/>
    <x v="7"/>
    <x v="3"/>
    <n v="49288"/>
    <x v="151"/>
    <n v="197152"/>
    <n v="9857.6"/>
  </r>
  <r>
    <s v="Pooja"/>
    <x v="2"/>
    <x v="3"/>
    <x v="1"/>
    <x v="8"/>
    <n v="29687"/>
    <x v="152"/>
    <n v="267183"/>
    <n v="5937.4"/>
  </r>
  <r>
    <s v="Anita"/>
    <x v="1"/>
    <x v="2"/>
    <x v="2"/>
    <x v="1"/>
    <n v="14737"/>
    <x v="153"/>
    <n v="88422"/>
    <n v="2947.4"/>
  </r>
  <r>
    <s v="Deepak"/>
    <x v="0"/>
    <x v="3"/>
    <x v="2"/>
    <x v="5"/>
    <n v="10323"/>
    <x v="154"/>
    <n v="20646"/>
    <n v="2064.6"/>
  </r>
  <r>
    <s v="Karan"/>
    <x v="1"/>
    <x v="3"/>
    <x v="2"/>
    <x v="7"/>
    <n v="16229"/>
    <x v="155"/>
    <n v="113603"/>
    <n v="3245.8"/>
  </r>
  <r>
    <s v="Amit"/>
    <x v="0"/>
    <x v="0"/>
    <x v="3"/>
    <x v="5"/>
    <n v="45481"/>
    <x v="156"/>
    <n v="90962"/>
    <n v="9096.2000000000007"/>
  </r>
  <r>
    <s v="Ravi"/>
    <x v="0"/>
    <x v="3"/>
    <x v="4"/>
    <x v="5"/>
    <n v="9502"/>
    <x v="157"/>
    <n v="19004"/>
    <n v="1900.4"/>
  </r>
  <r>
    <s v="Neha"/>
    <x v="0"/>
    <x v="2"/>
    <x v="4"/>
    <x v="0"/>
    <n v="1545"/>
    <x v="158"/>
    <n v="1545"/>
    <n v="309"/>
  </r>
  <r>
    <s v="Anita"/>
    <x v="1"/>
    <x v="1"/>
    <x v="0"/>
    <x v="4"/>
    <n v="38114"/>
    <x v="159"/>
    <n v="114342"/>
    <n v="7622.8"/>
  </r>
  <r>
    <s v="Pooja"/>
    <x v="0"/>
    <x v="3"/>
    <x v="1"/>
    <x v="1"/>
    <n v="30430"/>
    <x v="160"/>
    <n v="182580"/>
    <n v="6086"/>
  </r>
  <r>
    <s v="Anita"/>
    <x v="3"/>
    <x v="0"/>
    <x v="2"/>
    <x v="6"/>
    <n v="10996"/>
    <x v="161"/>
    <n v="87968"/>
    <n v="2199.1999999999998"/>
  </r>
  <r>
    <s v="Deepak"/>
    <x v="1"/>
    <x v="2"/>
    <x v="4"/>
    <x v="8"/>
    <n v="28788"/>
    <x v="162"/>
    <n v="259092"/>
    <n v="5757.6"/>
  </r>
  <r>
    <s v="Sneha"/>
    <x v="3"/>
    <x v="3"/>
    <x v="3"/>
    <x v="7"/>
    <n v="30969"/>
    <x v="163"/>
    <n v="216783"/>
    <n v="6193.8"/>
  </r>
  <r>
    <s v="Amit"/>
    <x v="0"/>
    <x v="2"/>
    <x v="0"/>
    <x v="3"/>
    <n v="49543"/>
    <x v="164"/>
    <n v="198172"/>
    <n v="9908.6"/>
  </r>
  <r>
    <s v="Amit"/>
    <x v="2"/>
    <x v="0"/>
    <x v="7"/>
    <x v="1"/>
    <n v="14919"/>
    <x v="165"/>
    <n v="89514"/>
    <n v="2983.8"/>
  </r>
  <r>
    <s v="Neha"/>
    <x v="0"/>
    <x v="0"/>
    <x v="0"/>
    <x v="2"/>
    <n v="4810"/>
    <x v="166"/>
    <n v="24050"/>
    <n v="962"/>
  </r>
  <r>
    <s v="Sneha"/>
    <x v="3"/>
    <x v="2"/>
    <x v="4"/>
    <x v="6"/>
    <n v="31586"/>
    <x v="167"/>
    <n v="252688"/>
    <n v="6317.2"/>
  </r>
  <r>
    <s v="Vikas"/>
    <x v="3"/>
    <x v="3"/>
    <x v="5"/>
    <x v="0"/>
    <n v="40974"/>
    <x v="168"/>
    <n v="40974"/>
    <n v="8194.7999999999993"/>
  </r>
  <r>
    <s v="Priya"/>
    <x v="1"/>
    <x v="1"/>
    <x v="3"/>
    <x v="0"/>
    <n v="42773"/>
    <x v="169"/>
    <n v="42773"/>
    <n v="8554.6"/>
  </r>
  <r>
    <s v="Ravi"/>
    <x v="2"/>
    <x v="0"/>
    <x v="5"/>
    <x v="1"/>
    <n v="17371"/>
    <x v="170"/>
    <n v="104226"/>
    <n v="3474.2"/>
  </r>
  <r>
    <s v="Amit"/>
    <x v="1"/>
    <x v="3"/>
    <x v="2"/>
    <x v="5"/>
    <n v="46084"/>
    <x v="171"/>
    <n v="92168"/>
    <n v="9216.7999999999993"/>
  </r>
  <r>
    <s v="Karan"/>
    <x v="3"/>
    <x v="3"/>
    <x v="5"/>
    <x v="2"/>
    <n v="30629"/>
    <x v="172"/>
    <n v="153145"/>
    <n v="6125.8"/>
  </r>
  <r>
    <s v="Amit"/>
    <x v="0"/>
    <x v="1"/>
    <x v="2"/>
    <x v="0"/>
    <n v="9436"/>
    <x v="173"/>
    <n v="9436"/>
    <n v="1887.2"/>
  </r>
  <r>
    <s v="Anita"/>
    <x v="2"/>
    <x v="0"/>
    <x v="2"/>
    <x v="7"/>
    <n v="13984"/>
    <x v="174"/>
    <n v="97888"/>
    <n v="2796.8"/>
  </r>
  <r>
    <s v="Amit"/>
    <x v="0"/>
    <x v="0"/>
    <x v="4"/>
    <x v="0"/>
    <n v="34039"/>
    <x v="175"/>
    <n v="34039"/>
    <n v="6807.8"/>
  </r>
  <r>
    <s v="Amit"/>
    <x v="0"/>
    <x v="3"/>
    <x v="5"/>
    <x v="3"/>
    <n v="20895"/>
    <x v="176"/>
    <n v="83580"/>
    <n v="4179"/>
  </r>
  <r>
    <s v="Priya"/>
    <x v="2"/>
    <x v="3"/>
    <x v="2"/>
    <x v="8"/>
    <n v="19155"/>
    <x v="177"/>
    <n v="172395"/>
    <n v="3831"/>
  </r>
  <r>
    <s v="Priya"/>
    <x v="1"/>
    <x v="1"/>
    <x v="1"/>
    <x v="0"/>
    <n v="11616"/>
    <x v="178"/>
    <n v="11616"/>
    <n v="2323.1999999999998"/>
  </r>
  <r>
    <s v="Pooja"/>
    <x v="0"/>
    <x v="1"/>
    <x v="7"/>
    <x v="3"/>
    <n v="38129"/>
    <x v="179"/>
    <n v="152516"/>
    <n v="7625.8"/>
  </r>
  <r>
    <s v="Vikas"/>
    <x v="3"/>
    <x v="0"/>
    <x v="0"/>
    <x v="1"/>
    <n v="40837"/>
    <x v="180"/>
    <n v="245022"/>
    <n v="8167.4"/>
  </r>
  <r>
    <s v="Karan"/>
    <x v="0"/>
    <x v="2"/>
    <x v="0"/>
    <x v="1"/>
    <n v="25574"/>
    <x v="181"/>
    <n v="153444"/>
    <n v="5114.8"/>
  </r>
  <r>
    <s v="Amit"/>
    <x v="2"/>
    <x v="0"/>
    <x v="4"/>
    <x v="6"/>
    <n v="4430"/>
    <x v="182"/>
    <n v="35440"/>
    <n v="886"/>
  </r>
  <r>
    <s v="Amit"/>
    <x v="2"/>
    <x v="3"/>
    <x v="5"/>
    <x v="0"/>
    <n v="13676"/>
    <x v="183"/>
    <n v="13676"/>
    <n v="2735.2"/>
  </r>
  <r>
    <s v="Ravi"/>
    <x v="2"/>
    <x v="0"/>
    <x v="5"/>
    <x v="7"/>
    <n v="11816"/>
    <x v="184"/>
    <n v="82712"/>
    <n v="2363.1999999999998"/>
  </r>
  <r>
    <s v="Priya"/>
    <x v="1"/>
    <x v="2"/>
    <x v="2"/>
    <x v="0"/>
    <n v="33733"/>
    <x v="185"/>
    <n v="33733"/>
    <n v="6746.6"/>
  </r>
  <r>
    <s v="Karan"/>
    <x v="0"/>
    <x v="1"/>
    <x v="3"/>
    <x v="7"/>
    <n v="21144"/>
    <x v="186"/>
    <n v="148008"/>
    <n v="4228.8"/>
  </r>
  <r>
    <s v="Neha"/>
    <x v="1"/>
    <x v="2"/>
    <x v="6"/>
    <x v="4"/>
    <n v="3050"/>
    <x v="187"/>
    <n v="9150"/>
    <n v="610"/>
  </r>
  <r>
    <s v="Pooja"/>
    <x v="1"/>
    <x v="2"/>
    <x v="2"/>
    <x v="6"/>
    <n v="45460"/>
    <x v="188"/>
    <n v="363680"/>
    <n v="9092"/>
  </r>
  <r>
    <s v="Vikas"/>
    <x v="2"/>
    <x v="2"/>
    <x v="7"/>
    <x v="4"/>
    <n v="34933"/>
    <x v="189"/>
    <n v="104799"/>
    <n v="6986.6"/>
  </r>
  <r>
    <s v="Sneha"/>
    <x v="2"/>
    <x v="1"/>
    <x v="1"/>
    <x v="0"/>
    <n v="25951"/>
    <x v="190"/>
    <n v="25951"/>
    <n v="5190.2"/>
  </r>
  <r>
    <s v="Vikas"/>
    <x v="1"/>
    <x v="2"/>
    <x v="0"/>
    <x v="6"/>
    <n v="33413"/>
    <x v="191"/>
    <n v="267304"/>
    <n v="6682.6"/>
  </r>
  <r>
    <s v="Anita"/>
    <x v="0"/>
    <x v="2"/>
    <x v="2"/>
    <x v="4"/>
    <n v="35801"/>
    <x v="192"/>
    <n v="107403"/>
    <n v="7160.2"/>
  </r>
  <r>
    <s v="Amit"/>
    <x v="3"/>
    <x v="2"/>
    <x v="6"/>
    <x v="5"/>
    <n v="33913"/>
    <x v="193"/>
    <n v="67826"/>
    <n v="6782.6"/>
  </r>
  <r>
    <s v="Pooja"/>
    <x v="1"/>
    <x v="3"/>
    <x v="6"/>
    <x v="0"/>
    <n v="48037"/>
    <x v="194"/>
    <n v="48037"/>
    <n v="9607.4"/>
  </r>
  <r>
    <s v="Anita"/>
    <x v="0"/>
    <x v="2"/>
    <x v="2"/>
    <x v="4"/>
    <n v="41600"/>
    <x v="195"/>
    <n v="124800"/>
    <n v="8320"/>
  </r>
  <r>
    <s v="Karan"/>
    <x v="2"/>
    <x v="1"/>
    <x v="4"/>
    <x v="5"/>
    <n v="26280"/>
    <x v="196"/>
    <n v="52560"/>
    <n v="5256"/>
  </r>
  <r>
    <s v="Sneha"/>
    <x v="2"/>
    <x v="2"/>
    <x v="0"/>
    <x v="5"/>
    <n v="25557"/>
    <x v="197"/>
    <n v="51114"/>
    <n v="5111.3999999999996"/>
  </r>
  <r>
    <s v="Priya"/>
    <x v="0"/>
    <x v="2"/>
    <x v="4"/>
    <x v="1"/>
    <n v="48054"/>
    <x v="198"/>
    <n v="288324"/>
    <n v="9610.7999999999993"/>
  </r>
  <r>
    <s v="Pooja"/>
    <x v="3"/>
    <x v="1"/>
    <x v="1"/>
    <x v="0"/>
    <n v="36400"/>
    <x v="199"/>
    <n v="36400"/>
    <n v="7280"/>
  </r>
  <r>
    <s v="Pooja"/>
    <x v="2"/>
    <x v="2"/>
    <x v="6"/>
    <x v="5"/>
    <n v="5494"/>
    <x v="200"/>
    <n v="10988"/>
    <n v="1098.8"/>
  </r>
  <r>
    <s v="Amit"/>
    <x v="2"/>
    <x v="1"/>
    <x v="6"/>
    <x v="1"/>
    <n v="16152"/>
    <x v="201"/>
    <n v="96912"/>
    <n v="3230.4"/>
  </r>
  <r>
    <s v="Deepak"/>
    <x v="2"/>
    <x v="2"/>
    <x v="7"/>
    <x v="4"/>
    <n v="24895"/>
    <x v="202"/>
    <n v="74685"/>
    <n v="4979"/>
  </r>
  <r>
    <s v="Pooja"/>
    <x v="0"/>
    <x v="1"/>
    <x v="1"/>
    <x v="3"/>
    <n v="10155"/>
    <x v="203"/>
    <n v="40620"/>
    <n v="2031"/>
  </r>
  <r>
    <s v="Ravi"/>
    <x v="1"/>
    <x v="2"/>
    <x v="6"/>
    <x v="0"/>
    <n v="32883"/>
    <x v="204"/>
    <n v="32883"/>
    <n v="6576.6"/>
  </r>
  <r>
    <s v="Sneha"/>
    <x v="2"/>
    <x v="2"/>
    <x v="1"/>
    <x v="6"/>
    <n v="44194"/>
    <x v="205"/>
    <n v="353552"/>
    <n v="8838.7999999999993"/>
  </r>
  <r>
    <s v="Sneha"/>
    <x v="1"/>
    <x v="3"/>
    <x v="0"/>
    <x v="7"/>
    <n v="44001"/>
    <x v="206"/>
    <n v="308007"/>
    <n v="8800.2000000000007"/>
  </r>
  <r>
    <s v="Ravi"/>
    <x v="3"/>
    <x v="3"/>
    <x v="5"/>
    <x v="7"/>
    <n v="2828"/>
    <x v="207"/>
    <n v="19796"/>
    <n v="565.6"/>
  </r>
  <r>
    <s v="Neha"/>
    <x v="2"/>
    <x v="2"/>
    <x v="6"/>
    <x v="4"/>
    <n v="46028"/>
    <x v="208"/>
    <n v="138084"/>
    <n v="9205.6"/>
  </r>
  <r>
    <s v="Ravi"/>
    <x v="2"/>
    <x v="2"/>
    <x v="7"/>
    <x v="4"/>
    <n v="42898"/>
    <x v="209"/>
    <n v="128694"/>
    <n v="8579.6"/>
  </r>
  <r>
    <s v="Ravi"/>
    <x v="3"/>
    <x v="0"/>
    <x v="0"/>
    <x v="5"/>
    <n v="33123"/>
    <x v="210"/>
    <n v="66246"/>
    <n v="6624.6"/>
  </r>
  <r>
    <s v="Sneha"/>
    <x v="2"/>
    <x v="1"/>
    <x v="2"/>
    <x v="0"/>
    <n v="38573"/>
    <x v="211"/>
    <n v="38573"/>
    <n v="7714.6"/>
  </r>
  <r>
    <s v="Vikas"/>
    <x v="1"/>
    <x v="0"/>
    <x v="1"/>
    <x v="7"/>
    <n v="1806"/>
    <x v="212"/>
    <n v="12642"/>
    <n v="361.2"/>
  </r>
  <r>
    <s v="Sneha"/>
    <x v="0"/>
    <x v="3"/>
    <x v="2"/>
    <x v="7"/>
    <n v="41970"/>
    <x v="213"/>
    <n v="293790"/>
    <n v="8394"/>
  </r>
  <r>
    <s v="Deepak"/>
    <x v="1"/>
    <x v="3"/>
    <x v="4"/>
    <x v="5"/>
    <n v="30757"/>
    <x v="214"/>
    <n v="61514"/>
    <n v="6151.4"/>
  </r>
  <r>
    <s v="Amit"/>
    <x v="0"/>
    <x v="3"/>
    <x v="0"/>
    <x v="7"/>
    <n v="35636"/>
    <x v="215"/>
    <n v="249452"/>
    <n v="7127.2"/>
  </r>
  <r>
    <s v="Anita"/>
    <x v="0"/>
    <x v="3"/>
    <x v="2"/>
    <x v="6"/>
    <n v="15561"/>
    <x v="216"/>
    <n v="124488"/>
    <n v="3112.2"/>
  </r>
  <r>
    <s v="Vikas"/>
    <x v="1"/>
    <x v="2"/>
    <x v="3"/>
    <x v="0"/>
    <n v="49280"/>
    <x v="217"/>
    <n v="49280"/>
    <n v="9856"/>
  </r>
  <r>
    <s v="Priya"/>
    <x v="1"/>
    <x v="3"/>
    <x v="3"/>
    <x v="8"/>
    <n v="25262"/>
    <x v="218"/>
    <n v="227358"/>
    <n v="5052.3999999999996"/>
  </r>
  <r>
    <s v="Anita"/>
    <x v="1"/>
    <x v="2"/>
    <x v="6"/>
    <x v="7"/>
    <n v="15899"/>
    <x v="219"/>
    <n v="111293"/>
    <n v="3179.8"/>
  </r>
  <r>
    <s v="Amit"/>
    <x v="1"/>
    <x v="2"/>
    <x v="1"/>
    <x v="4"/>
    <n v="49988"/>
    <x v="220"/>
    <n v="149964"/>
    <n v="9997.6"/>
  </r>
  <r>
    <s v="Deepak"/>
    <x v="3"/>
    <x v="3"/>
    <x v="5"/>
    <x v="6"/>
    <n v="16934"/>
    <x v="221"/>
    <n v="135472"/>
    <n v="3386.8"/>
  </r>
  <r>
    <s v="Deepak"/>
    <x v="2"/>
    <x v="3"/>
    <x v="0"/>
    <x v="7"/>
    <n v="39197"/>
    <x v="222"/>
    <n v="274379"/>
    <n v="7839.4"/>
  </r>
  <r>
    <s v="Priya"/>
    <x v="0"/>
    <x v="1"/>
    <x v="6"/>
    <x v="6"/>
    <n v="42844"/>
    <x v="223"/>
    <n v="342752"/>
    <n v="8568.7999999999993"/>
  </r>
  <r>
    <s v="Vikas"/>
    <x v="1"/>
    <x v="0"/>
    <x v="7"/>
    <x v="1"/>
    <n v="37332"/>
    <x v="224"/>
    <n v="223992"/>
    <n v="7466.4"/>
  </r>
  <r>
    <s v="Neha"/>
    <x v="1"/>
    <x v="3"/>
    <x v="4"/>
    <x v="8"/>
    <n v="35157"/>
    <x v="225"/>
    <n v="316413"/>
    <n v="7031.4"/>
  </r>
  <r>
    <s v="Ravi"/>
    <x v="1"/>
    <x v="1"/>
    <x v="1"/>
    <x v="2"/>
    <n v="12593"/>
    <x v="226"/>
    <n v="62965"/>
    <n v="2518.6"/>
  </r>
  <r>
    <s v="Vikas"/>
    <x v="3"/>
    <x v="1"/>
    <x v="0"/>
    <x v="4"/>
    <n v="41042"/>
    <x v="227"/>
    <n v="123126"/>
    <n v="8208.4"/>
  </r>
  <r>
    <s v="Neha"/>
    <x v="1"/>
    <x v="0"/>
    <x v="3"/>
    <x v="4"/>
    <n v="18320"/>
    <x v="228"/>
    <n v="54960"/>
    <n v="3664"/>
  </r>
  <r>
    <s v="Deepak"/>
    <x v="1"/>
    <x v="2"/>
    <x v="0"/>
    <x v="0"/>
    <n v="28376"/>
    <x v="229"/>
    <n v="28376"/>
    <n v="5675.2"/>
  </r>
  <r>
    <s v="Sneha"/>
    <x v="1"/>
    <x v="3"/>
    <x v="5"/>
    <x v="6"/>
    <n v="44513"/>
    <x v="230"/>
    <n v="356104"/>
    <n v="8902.6"/>
  </r>
  <r>
    <s v="Amit"/>
    <x v="2"/>
    <x v="0"/>
    <x v="3"/>
    <x v="5"/>
    <n v="15199"/>
    <x v="231"/>
    <n v="30398"/>
    <n v="3039.8"/>
  </r>
  <r>
    <s v="Priya"/>
    <x v="3"/>
    <x v="3"/>
    <x v="5"/>
    <x v="4"/>
    <n v="16876"/>
    <x v="232"/>
    <n v="50628"/>
    <n v="3375.2"/>
  </r>
  <r>
    <s v="Amit"/>
    <x v="1"/>
    <x v="1"/>
    <x v="7"/>
    <x v="6"/>
    <n v="9245"/>
    <x v="233"/>
    <n v="73960"/>
    <n v="1849"/>
  </r>
  <r>
    <s v="Karan"/>
    <x v="0"/>
    <x v="1"/>
    <x v="4"/>
    <x v="6"/>
    <n v="8214"/>
    <x v="234"/>
    <n v="65712"/>
    <n v="1642.8"/>
  </r>
  <r>
    <s v="Karan"/>
    <x v="0"/>
    <x v="2"/>
    <x v="7"/>
    <x v="3"/>
    <n v="1726"/>
    <x v="235"/>
    <n v="6904"/>
    <n v="345.2"/>
  </r>
  <r>
    <s v="Vikas"/>
    <x v="0"/>
    <x v="1"/>
    <x v="6"/>
    <x v="3"/>
    <n v="47600"/>
    <x v="236"/>
    <n v="190400"/>
    <n v="9520"/>
  </r>
  <r>
    <s v="Deepak"/>
    <x v="3"/>
    <x v="1"/>
    <x v="6"/>
    <x v="2"/>
    <n v="12362"/>
    <x v="237"/>
    <n v="61810"/>
    <n v="2472.4"/>
  </r>
  <r>
    <s v="Deepak"/>
    <x v="3"/>
    <x v="0"/>
    <x v="7"/>
    <x v="1"/>
    <n v="19297"/>
    <x v="238"/>
    <n v="115782"/>
    <n v="3859.4"/>
  </r>
  <r>
    <s v="Ravi"/>
    <x v="0"/>
    <x v="3"/>
    <x v="4"/>
    <x v="2"/>
    <n v="31448"/>
    <x v="239"/>
    <n v="157240"/>
    <n v="6289.6"/>
  </r>
  <r>
    <s v="Ravi"/>
    <x v="1"/>
    <x v="3"/>
    <x v="7"/>
    <x v="7"/>
    <n v="27172"/>
    <x v="240"/>
    <n v="190204"/>
    <n v="5434.4"/>
  </r>
  <r>
    <s v="Ravi"/>
    <x v="3"/>
    <x v="0"/>
    <x v="4"/>
    <x v="5"/>
    <n v="43874"/>
    <x v="241"/>
    <n v="87748"/>
    <n v="8774.7999999999993"/>
  </r>
  <r>
    <s v="Sneha"/>
    <x v="0"/>
    <x v="2"/>
    <x v="4"/>
    <x v="7"/>
    <n v="8657"/>
    <x v="242"/>
    <n v="60599"/>
    <n v="1731.4"/>
  </r>
  <r>
    <s v="Anita"/>
    <x v="0"/>
    <x v="3"/>
    <x v="2"/>
    <x v="7"/>
    <n v="19850"/>
    <x v="243"/>
    <n v="138950"/>
    <n v="3970"/>
  </r>
  <r>
    <s v="Pooja"/>
    <x v="1"/>
    <x v="1"/>
    <x v="3"/>
    <x v="0"/>
    <n v="26425"/>
    <x v="244"/>
    <n v="26425"/>
    <n v="5285"/>
  </r>
  <r>
    <s v="Anita"/>
    <x v="2"/>
    <x v="3"/>
    <x v="1"/>
    <x v="7"/>
    <n v="27685"/>
    <x v="245"/>
    <n v="193795"/>
    <n v="5537"/>
  </r>
  <r>
    <s v="Amit"/>
    <x v="3"/>
    <x v="1"/>
    <x v="4"/>
    <x v="2"/>
    <n v="48319"/>
    <x v="246"/>
    <n v="241595"/>
    <n v="9663.7999999999993"/>
  </r>
  <r>
    <s v="Anita"/>
    <x v="1"/>
    <x v="2"/>
    <x v="5"/>
    <x v="4"/>
    <n v="25578"/>
    <x v="247"/>
    <n v="76734"/>
    <n v="5115.6000000000004"/>
  </r>
  <r>
    <s v="Sneha"/>
    <x v="0"/>
    <x v="0"/>
    <x v="4"/>
    <x v="4"/>
    <n v="29831"/>
    <x v="248"/>
    <n v="89493"/>
    <n v="5966.2"/>
  </r>
  <r>
    <s v="Amit"/>
    <x v="0"/>
    <x v="3"/>
    <x v="4"/>
    <x v="3"/>
    <n v="8906"/>
    <x v="249"/>
    <n v="35624"/>
    <n v="1781.2"/>
  </r>
  <r>
    <s v="Anita"/>
    <x v="1"/>
    <x v="0"/>
    <x v="4"/>
    <x v="5"/>
    <n v="8287"/>
    <x v="250"/>
    <n v="16574"/>
    <n v="1657.4"/>
  </r>
  <r>
    <s v="Sneha"/>
    <x v="3"/>
    <x v="3"/>
    <x v="2"/>
    <x v="5"/>
    <n v="34660"/>
    <x v="251"/>
    <n v="69320"/>
    <n v="6932"/>
  </r>
  <r>
    <s v="Pooja"/>
    <x v="2"/>
    <x v="1"/>
    <x v="3"/>
    <x v="0"/>
    <n v="11222"/>
    <x v="252"/>
    <n v="11222"/>
    <n v="2244.4"/>
  </r>
  <r>
    <s v="Anita"/>
    <x v="2"/>
    <x v="0"/>
    <x v="2"/>
    <x v="2"/>
    <n v="38443"/>
    <x v="253"/>
    <n v="192215"/>
    <n v="7688.6"/>
  </r>
  <r>
    <s v="Sneha"/>
    <x v="0"/>
    <x v="3"/>
    <x v="6"/>
    <x v="3"/>
    <n v="35701"/>
    <x v="254"/>
    <n v="142804"/>
    <n v="7140.2"/>
  </r>
  <r>
    <s v="Ravi"/>
    <x v="3"/>
    <x v="1"/>
    <x v="2"/>
    <x v="5"/>
    <n v="18764"/>
    <x v="255"/>
    <n v="37528"/>
    <n v="3752.8"/>
  </r>
  <r>
    <s v="Deepak"/>
    <x v="2"/>
    <x v="0"/>
    <x v="5"/>
    <x v="4"/>
    <n v="45641"/>
    <x v="256"/>
    <n v="136923"/>
    <n v="9128.2000000000007"/>
  </r>
  <r>
    <s v="Ravi"/>
    <x v="3"/>
    <x v="0"/>
    <x v="5"/>
    <x v="7"/>
    <n v="18674"/>
    <x v="257"/>
    <n v="130718"/>
    <n v="3734.8"/>
  </r>
  <r>
    <s v="Deepak"/>
    <x v="3"/>
    <x v="3"/>
    <x v="2"/>
    <x v="7"/>
    <n v="19024"/>
    <x v="258"/>
    <n v="133168"/>
    <n v="3804.8"/>
  </r>
  <r>
    <s v="Priya"/>
    <x v="0"/>
    <x v="3"/>
    <x v="3"/>
    <x v="3"/>
    <n v="47007"/>
    <x v="259"/>
    <n v="188028"/>
    <n v="9401.4"/>
  </r>
  <r>
    <s v="Priya"/>
    <x v="2"/>
    <x v="3"/>
    <x v="7"/>
    <x v="2"/>
    <n v="24874"/>
    <x v="260"/>
    <n v="124370"/>
    <n v="4974.8"/>
  </r>
  <r>
    <s v="Priya"/>
    <x v="1"/>
    <x v="1"/>
    <x v="1"/>
    <x v="2"/>
    <n v="44642"/>
    <x v="261"/>
    <n v="223210"/>
    <n v="8928.4"/>
  </r>
  <r>
    <s v="Pooja"/>
    <x v="0"/>
    <x v="3"/>
    <x v="3"/>
    <x v="1"/>
    <n v="33284"/>
    <x v="262"/>
    <n v="199704"/>
    <n v="6656.8"/>
  </r>
  <r>
    <s v="Ravi"/>
    <x v="2"/>
    <x v="0"/>
    <x v="2"/>
    <x v="8"/>
    <n v="18602"/>
    <x v="263"/>
    <n v="167418"/>
    <n v="3720.4"/>
  </r>
  <r>
    <s v="Deepak"/>
    <x v="2"/>
    <x v="0"/>
    <x v="4"/>
    <x v="5"/>
    <n v="38784"/>
    <x v="264"/>
    <n v="77568"/>
    <n v="7756.8"/>
  </r>
  <r>
    <s v="Sneha"/>
    <x v="2"/>
    <x v="3"/>
    <x v="0"/>
    <x v="2"/>
    <n v="24265"/>
    <x v="265"/>
    <n v="121325"/>
    <n v="4853"/>
  </r>
  <r>
    <s v="Amit"/>
    <x v="2"/>
    <x v="3"/>
    <x v="1"/>
    <x v="4"/>
    <n v="26931"/>
    <x v="266"/>
    <n v="80793"/>
    <n v="5386.2"/>
  </r>
  <r>
    <s v="Sneha"/>
    <x v="2"/>
    <x v="2"/>
    <x v="1"/>
    <x v="3"/>
    <n v="29841"/>
    <x v="267"/>
    <n v="119364"/>
    <n v="5968.2"/>
  </r>
  <r>
    <s v="Amit"/>
    <x v="3"/>
    <x v="0"/>
    <x v="5"/>
    <x v="1"/>
    <n v="30192"/>
    <x v="268"/>
    <n v="181152"/>
    <n v="6038.4"/>
  </r>
  <r>
    <s v="Karan"/>
    <x v="0"/>
    <x v="1"/>
    <x v="1"/>
    <x v="6"/>
    <n v="47542"/>
    <x v="269"/>
    <n v="380336"/>
    <n v="9508.4"/>
  </r>
  <r>
    <s v="Sneha"/>
    <x v="3"/>
    <x v="2"/>
    <x v="2"/>
    <x v="0"/>
    <n v="43520"/>
    <x v="270"/>
    <n v="43520"/>
    <n v="8704"/>
  </r>
  <r>
    <s v="Anita"/>
    <x v="1"/>
    <x v="3"/>
    <x v="4"/>
    <x v="6"/>
    <n v="16585"/>
    <x v="271"/>
    <n v="132680"/>
    <n v="3317"/>
  </r>
  <r>
    <s v="Anita"/>
    <x v="2"/>
    <x v="3"/>
    <x v="4"/>
    <x v="7"/>
    <n v="26559"/>
    <x v="272"/>
    <n v="185913"/>
    <n v="5311.8"/>
  </r>
  <r>
    <s v="Vikas"/>
    <x v="0"/>
    <x v="0"/>
    <x v="6"/>
    <x v="0"/>
    <n v="41059"/>
    <x v="273"/>
    <n v="41059"/>
    <n v="8211.7999999999993"/>
  </r>
  <r>
    <s v="Ravi"/>
    <x v="2"/>
    <x v="3"/>
    <x v="4"/>
    <x v="5"/>
    <n v="34742"/>
    <x v="274"/>
    <n v="69484"/>
    <n v="6948.4"/>
  </r>
  <r>
    <s v="Amit"/>
    <x v="0"/>
    <x v="1"/>
    <x v="3"/>
    <x v="4"/>
    <n v="5133"/>
    <x v="275"/>
    <n v="15399"/>
    <n v="1026.5999999999999"/>
  </r>
  <r>
    <s v="Amit"/>
    <x v="3"/>
    <x v="0"/>
    <x v="4"/>
    <x v="0"/>
    <n v="15663"/>
    <x v="276"/>
    <n v="15663"/>
    <n v="3132.6"/>
  </r>
  <r>
    <s v="Ravi"/>
    <x v="0"/>
    <x v="3"/>
    <x v="5"/>
    <x v="8"/>
    <n v="22754"/>
    <x v="277"/>
    <n v="204786"/>
    <n v="4550.8"/>
  </r>
  <r>
    <s v="Pooja"/>
    <x v="1"/>
    <x v="0"/>
    <x v="4"/>
    <x v="6"/>
    <n v="4972"/>
    <x v="278"/>
    <n v="39776"/>
    <n v="994.4"/>
  </r>
  <r>
    <s v="Vikas"/>
    <x v="1"/>
    <x v="3"/>
    <x v="6"/>
    <x v="5"/>
    <n v="6295"/>
    <x v="279"/>
    <n v="12590"/>
    <n v="1259"/>
  </r>
  <r>
    <s v="Pooja"/>
    <x v="0"/>
    <x v="3"/>
    <x v="0"/>
    <x v="8"/>
    <n v="47681"/>
    <x v="280"/>
    <n v="429129"/>
    <n v="9536.2000000000007"/>
  </r>
  <r>
    <s v="Pooja"/>
    <x v="0"/>
    <x v="3"/>
    <x v="2"/>
    <x v="7"/>
    <n v="42873"/>
    <x v="281"/>
    <n v="300111"/>
    <n v="8574.6"/>
  </r>
  <r>
    <s v="Pooja"/>
    <x v="0"/>
    <x v="1"/>
    <x v="5"/>
    <x v="8"/>
    <n v="30125"/>
    <x v="282"/>
    <n v="271125"/>
    <n v="6025"/>
  </r>
  <r>
    <s v="Ravi"/>
    <x v="0"/>
    <x v="1"/>
    <x v="3"/>
    <x v="1"/>
    <n v="41996"/>
    <x v="283"/>
    <n v="251976"/>
    <n v="8399.2000000000007"/>
  </r>
  <r>
    <s v="Pooja"/>
    <x v="1"/>
    <x v="0"/>
    <x v="0"/>
    <x v="1"/>
    <n v="10903"/>
    <x v="284"/>
    <n v="65418"/>
    <n v="2180.6"/>
  </r>
  <r>
    <s v="Anita"/>
    <x v="2"/>
    <x v="3"/>
    <x v="5"/>
    <x v="3"/>
    <n v="4020"/>
    <x v="285"/>
    <n v="16080"/>
    <n v="804"/>
  </r>
  <r>
    <s v="Priya"/>
    <x v="0"/>
    <x v="3"/>
    <x v="7"/>
    <x v="5"/>
    <n v="42755"/>
    <x v="286"/>
    <n v="85510"/>
    <n v="8551"/>
  </r>
  <r>
    <s v="Karan"/>
    <x v="0"/>
    <x v="1"/>
    <x v="1"/>
    <x v="7"/>
    <n v="21420"/>
    <x v="287"/>
    <n v="149940"/>
    <n v="4284"/>
  </r>
  <r>
    <s v="Amit"/>
    <x v="1"/>
    <x v="3"/>
    <x v="7"/>
    <x v="2"/>
    <n v="22452"/>
    <x v="288"/>
    <n v="112260"/>
    <n v="4490.3999999999996"/>
  </r>
  <r>
    <s v="Amit"/>
    <x v="1"/>
    <x v="1"/>
    <x v="4"/>
    <x v="1"/>
    <n v="46648"/>
    <x v="289"/>
    <n v="279888"/>
    <n v="9329.6"/>
  </r>
  <r>
    <s v="Karan"/>
    <x v="3"/>
    <x v="3"/>
    <x v="0"/>
    <x v="5"/>
    <n v="39001"/>
    <x v="290"/>
    <n v="78002"/>
    <n v="7800.2"/>
  </r>
  <r>
    <s v="Ravi"/>
    <x v="0"/>
    <x v="0"/>
    <x v="4"/>
    <x v="2"/>
    <n v="10516"/>
    <x v="291"/>
    <n v="52580"/>
    <n v="2103.1999999999998"/>
  </r>
  <r>
    <s v="Sneha"/>
    <x v="3"/>
    <x v="3"/>
    <x v="1"/>
    <x v="3"/>
    <n v="48327"/>
    <x v="292"/>
    <n v="193308"/>
    <n v="9665.4"/>
  </r>
  <r>
    <s v="Ravi"/>
    <x v="1"/>
    <x v="3"/>
    <x v="5"/>
    <x v="8"/>
    <n v="3396"/>
    <x v="293"/>
    <n v="30564"/>
    <n v="679.2"/>
  </r>
  <r>
    <s v="Amit"/>
    <x v="1"/>
    <x v="2"/>
    <x v="1"/>
    <x v="1"/>
    <n v="19546"/>
    <x v="294"/>
    <n v="117276"/>
    <n v="3909.2"/>
  </r>
  <r>
    <s v="Amit"/>
    <x v="2"/>
    <x v="1"/>
    <x v="6"/>
    <x v="5"/>
    <n v="20129"/>
    <x v="295"/>
    <n v="40258"/>
    <n v="4025.8"/>
  </r>
  <r>
    <s v="Karan"/>
    <x v="0"/>
    <x v="3"/>
    <x v="1"/>
    <x v="0"/>
    <n v="2591"/>
    <x v="296"/>
    <n v="2591"/>
    <n v="518.20000000000005"/>
  </r>
  <r>
    <s v="Pooja"/>
    <x v="3"/>
    <x v="3"/>
    <x v="6"/>
    <x v="2"/>
    <n v="12303"/>
    <x v="297"/>
    <n v="61515"/>
    <n v="2460.6"/>
  </r>
  <r>
    <s v="Ravi"/>
    <x v="1"/>
    <x v="2"/>
    <x v="1"/>
    <x v="8"/>
    <n v="31561"/>
    <x v="298"/>
    <n v="284049"/>
    <n v="6312.2"/>
  </r>
  <r>
    <s v="Deepak"/>
    <x v="1"/>
    <x v="2"/>
    <x v="2"/>
    <x v="1"/>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40D230-6925-45CB-9952-4FD3BF0336B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J13:K18" firstHeaderRow="1" firstDataRow="1" firstDataCol="1"/>
  <pivotFields count="1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formats count="4">
    <format dxfId="11">
      <pivotArea field="1" type="button" dataOnly="0" labelOnly="1" outline="0" axis="axisRow" fieldPosition="0"/>
    </format>
    <format dxfId="10">
      <pivotArea dataOnly="0" labelOnly="1" outline="0" axis="axisValues" fieldPosition="0"/>
    </format>
    <format dxfId="9">
      <pivotArea grandRow="1" outline="0" collapsedLevelsAreSubtotals="1" fieldPosition="0"/>
    </format>
    <format dxfId="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AECBE0-9257-42F3-A1E9-398690998B82}"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Region">
  <location ref="H23:I28"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4" baseField="0" baseItem="0"/>
  </dataFields>
  <formats count="4">
    <format dxfId="15">
      <pivotArea field="1" type="button" dataOnly="0" labelOnly="1" outline="0"/>
    </format>
    <format dxfId="14">
      <pivotArea dataOnly="0" labelOnly="1" outline="0" axis="axisValues" fieldPosition="0"/>
    </format>
    <format dxfId="13">
      <pivotArea grandRow="1" outline="0" collapsedLevelsAreSubtotals="1" fieldPosition="0"/>
    </format>
    <format dxfId="1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CE98BC-975A-44D5-A579-AA7D6A48E36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1" rowHeaderCaption="months">
  <location ref="D13:E24" firstHeaderRow="1" firstDataRow="1" firstDataCol="1"/>
  <pivotFields count="10">
    <pivotField showAll="0"/>
    <pivotField showAll="0">
      <items count="5">
        <item x="3"/>
        <item x="0"/>
        <item x="2"/>
        <item x="1"/>
        <item t="default"/>
      </items>
    </pivotField>
    <pivotField showAll="0"/>
    <pivotField showAll="0"/>
    <pivotField showAll="0"/>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Sales" fld="5" baseField="0" baseItem="0"/>
  </dataFields>
  <formats count="4">
    <format dxfId="19">
      <pivotArea field="9" type="button" dataOnly="0" labelOnly="1" outline="0" axis="axisRow" fieldPosition="0"/>
    </format>
    <format dxfId="18">
      <pivotArea dataOnly="0" labelOnly="1" outline="0" axis="axisValues" fieldPosition="0"/>
    </format>
    <format dxfId="17">
      <pivotArea grandRow="1" outline="0" collapsedLevelsAreSubtotals="1" fieldPosition="0"/>
    </format>
    <format dxfId="16">
      <pivotArea dataOnly="0" labelOnly="1" grandRow="1" outline="0" fieldPosition="0"/>
    </format>
  </formats>
  <chartFormats count="1">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94D640-C189-4FD5-B91E-21D55C0351F3}"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G13:H18" firstHeaderRow="1" firstDataRow="1" firstDataCol="1"/>
  <pivotFields count="10">
    <pivotField showAll="0"/>
    <pivotField axis="axisRow" showAll="0">
      <items count="5">
        <item x="3"/>
        <item x="0"/>
        <item x="2"/>
        <item x="1"/>
        <item t="default"/>
      </items>
    </pivotField>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5" baseField="0" baseItem="0"/>
  </dataFields>
  <formats count="4">
    <format dxfId="23">
      <pivotArea field="1" type="button" dataOnly="0" labelOnly="1" outline="0" axis="axisRow" fieldPosition="0"/>
    </format>
    <format dxfId="22">
      <pivotArea dataOnly="0" labelOnly="1" outline="0" axis="axisValues" fieldPosition="0"/>
    </format>
    <format dxfId="21">
      <pivotArea grandRow="1" outline="0" collapsedLevelsAreSubtotals="1" fieldPosition="0"/>
    </format>
    <format dxfId="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BF4369-3709-42CC-8CA1-5BA62276991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rowHeaderCaption="Product">
  <location ref="A13:B22" firstHeaderRow="1" firstDataRow="1" firstDataCol="1"/>
  <pivotFields count="1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Sales" fld="5" baseField="0" baseItem="0"/>
  </dataFields>
  <formats count="5">
    <format dxfId="28">
      <pivotArea field="3" type="button" dataOnly="0" labelOnly="1" outline="0" axis="axisRow" fieldPosition="0"/>
    </format>
    <format dxfId="27">
      <pivotArea field="3" type="button" dataOnly="0" labelOnly="1" outline="0" axis="axisRow" fieldPosition="0"/>
    </format>
    <format dxfId="26">
      <pivotArea dataOnly="0" labelOnly="1" outline="0" axis="axisValues" fieldPosition="0"/>
    </format>
    <format dxfId="25">
      <pivotArea grandRow="1" outline="0" collapsedLevelsAreSubtotals="1" fieldPosition="0"/>
    </format>
    <format dxfId="24">
      <pivotArea dataOnly="0" labelOnly="1" grandRow="1" outline="0" fieldPosition="0"/>
    </format>
  </format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76C8F1-3FF4-4AA0-9252-A5EAC5831F2A}"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1" rowHeaderCaption="Category">
  <location ref="D3:E8"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5" baseField="0" baseItem="0"/>
  </dataFields>
  <formats count="4">
    <format dxfId="32">
      <pivotArea field="2" type="button" dataOnly="0" labelOnly="1" outline="0" axis="axisRow" fieldPosition="0"/>
    </format>
    <format dxfId="31">
      <pivotArea dataOnly="0" labelOnly="1" outline="0" axis="axisValues" fieldPosition="0"/>
    </format>
    <format dxfId="30">
      <pivotArea grandRow="1" outline="0" collapsedLevelsAreSubtotals="1" fieldPosition="0"/>
    </format>
    <format dxfId="29">
      <pivotArea dataOnly="0" labelOnly="1" grandRow="1" outline="0" fieldPosition="0"/>
    </format>
  </formats>
  <chartFormats count="5">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2" count="1" selected="0">
            <x v="0"/>
          </reference>
        </references>
      </pivotArea>
    </chartFormat>
    <chartFormat chart="18" format="8">
      <pivotArea type="data" outline="0" fieldPosition="0">
        <references count="2">
          <reference field="4294967294" count="1" selected="0">
            <x v="0"/>
          </reference>
          <reference field="2" count="1" selected="0">
            <x v="1"/>
          </reference>
        </references>
      </pivotArea>
    </chartFormat>
    <chartFormat chart="18" format="9">
      <pivotArea type="data" outline="0" fieldPosition="0">
        <references count="2">
          <reference field="4294967294" count="1" selected="0">
            <x v="0"/>
          </reference>
          <reference field="2" count="1" selected="0">
            <x v="2"/>
          </reference>
        </references>
      </pivotArea>
    </chartFormat>
    <chartFormat chart="18"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36F3E1-1BE2-4CDD-A924-A0E550DF7F86}"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rowHeaderCaption="Region">
  <location ref="A3:B8" firstHeaderRow="1" firstDataRow="1" firstDataCol="1"/>
  <pivotFields count="10">
    <pivotField showAll="0"/>
    <pivotField axis="axisRow" showAll="0">
      <items count="5">
        <item x="3"/>
        <item x="0"/>
        <item x="2"/>
        <item x="1"/>
        <item t="default"/>
      </items>
    </pivotField>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5" baseField="0" baseItem="0"/>
  </dataFields>
  <formats count="4">
    <format dxfId="36">
      <pivotArea dataOnly="0" labelOnly="1" outline="0" axis="axisValues" fieldPosition="0"/>
    </format>
    <format dxfId="35">
      <pivotArea field="1" type="button" dataOnly="0" labelOnly="1" outline="0" axis="axisRow" fieldPosition="0"/>
    </format>
    <format dxfId="34">
      <pivotArea grandRow="1" outline="0" collapsedLevelsAreSubtotals="1" fieldPosition="0"/>
    </format>
    <format dxfId="33">
      <pivotArea dataOnly="0" labelOnly="1" grandRow="1" outline="0" fieldPosition="0"/>
    </format>
  </formats>
  <chartFormats count="4">
    <chartFormat chart="6"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2BADC3-0461-4B97-9C94-B33E60479B07}" sourceName="Region">
  <pivotTables>
    <pivotTable tabId="2" name="PivotTable1"/>
  </pivotTables>
  <data>
    <tabular pivotCacheId="1805514766">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E9F384-6FCF-4FB2-9C63-9E13AB6EB15E}" sourceName="Category">
  <pivotTables>
    <pivotTable tabId="2" name="PivotTable2"/>
  </pivotTables>
  <data>
    <tabular pivotCacheId="1805514766">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B51F63A-6F62-48D5-AD36-470E93283625}" cache="Slicer_Region" caption="Region" rowHeight="241300"/>
  <slicer name="Category 1" xr10:uid="{6DF1A23A-5ADC-4DF7-AF14-7AC4B699645B}"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B5723F-0CD6-4A6C-B00B-EEAAE4465735}" name="Table1" displayName="Table1" ref="A1:I302" totalsRowShown="0" headerRowDxfId="49" headerRowBorderDxfId="48" tableBorderDxfId="47" totalsRowBorderDxfId="46">
  <autoFilter ref="A1:I302" xr:uid="{05B5723F-0CD6-4A6C-B00B-EEAAE4465735}"/>
  <tableColumns count="9">
    <tableColumn id="1" xr3:uid="{542078F1-FF9C-4C09-8968-EC9D4826CC65}" name="Customer" dataDxfId="45"/>
    <tableColumn id="2" xr3:uid="{C3B8356D-DC4A-4797-A963-E2B18F904535}" name="Region" dataDxfId="44"/>
    <tableColumn id="3" xr3:uid="{A263B6AA-1408-46AD-9687-C4D697C1FF2E}" name="Category" dataDxfId="43"/>
    <tableColumn id="4" xr3:uid="{B98E52AB-8FAD-4E2F-9EF3-0CC709DD630D}" name="Product" dataDxfId="42"/>
    <tableColumn id="5" xr3:uid="{48812365-222F-418B-B676-C50C93E60341}" name="Quantity" dataDxfId="41"/>
    <tableColumn id="6" xr3:uid="{58F0B22F-915F-48B1-9D03-A6E0A19A8349}" name="Units" dataDxfId="40"/>
    <tableColumn id="7" xr3:uid="{616271C1-1F26-44E4-A916-8C057EE55960}" name="Date" dataDxfId="39"/>
    <tableColumn id="8" xr3:uid="{4B92AA20-6C84-4DD9-953E-490E320971B2}" name="Total" dataDxfId="38"/>
    <tableColumn id="9" xr3:uid="{7A104E47-F3DD-4169-BA35-EC85FA479F96}" name="Profit" dataDxfId="3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3DB0-5250-410B-9975-3B34CAB2D273}">
  <dimension ref="A1:I325"/>
  <sheetViews>
    <sheetView topLeftCell="A2" workbookViewId="0">
      <selection activeCell="L12" sqref="L12"/>
    </sheetView>
  </sheetViews>
  <sheetFormatPr defaultRowHeight="15" x14ac:dyDescent="0.25"/>
  <cols>
    <col min="1" max="1" width="11.7109375" customWidth="1"/>
    <col min="2" max="2" width="9.28515625" customWidth="1"/>
    <col min="3" max="3" width="16.5703125" bestFit="1" customWidth="1"/>
    <col min="4" max="4" width="12.140625" bestFit="1" customWidth="1"/>
    <col min="5" max="5" width="10.85546875" customWidth="1"/>
    <col min="6" max="6" width="7.7109375" customWidth="1"/>
    <col min="7" max="7" width="10.42578125" bestFit="1" customWidth="1"/>
    <col min="8" max="8" width="7.5703125" customWidth="1"/>
    <col min="9" max="9" width="8.140625" customWidth="1"/>
  </cols>
  <sheetData>
    <row r="1" spans="1:9" x14ac:dyDescent="0.25">
      <c r="A1" s="7" t="s">
        <v>26</v>
      </c>
      <c r="B1" s="8" t="s">
        <v>27</v>
      </c>
      <c r="C1" s="8" t="s">
        <v>28</v>
      </c>
      <c r="D1" s="8" t="s">
        <v>29</v>
      </c>
      <c r="E1" s="8" t="s">
        <v>30</v>
      </c>
      <c r="F1" s="8" t="s">
        <v>50</v>
      </c>
      <c r="G1" s="8" t="s">
        <v>31</v>
      </c>
      <c r="H1" s="8" t="s">
        <v>32</v>
      </c>
      <c r="I1" s="9" t="s">
        <v>33</v>
      </c>
    </row>
    <row r="2" spans="1:9" x14ac:dyDescent="0.25">
      <c r="A2" s="5" t="s">
        <v>0</v>
      </c>
      <c r="B2" s="1" t="s">
        <v>1</v>
      </c>
      <c r="C2" s="1" t="s">
        <v>2</v>
      </c>
      <c r="D2" s="1" t="s">
        <v>3</v>
      </c>
      <c r="E2" s="1">
        <v>1</v>
      </c>
      <c r="F2" s="1">
        <v>13875</v>
      </c>
      <c r="G2" s="4">
        <v>44927</v>
      </c>
      <c r="H2" s="1">
        <v>13875</v>
      </c>
      <c r="I2" s="6">
        <v>2775</v>
      </c>
    </row>
    <row r="3" spans="1:9" x14ac:dyDescent="0.25">
      <c r="A3" s="5" t="s">
        <v>4</v>
      </c>
      <c r="B3" s="1" t="s">
        <v>5</v>
      </c>
      <c r="C3" s="1" t="s">
        <v>6</v>
      </c>
      <c r="D3" s="1" t="s">
        <v>7</v>
      </c>
      <c r="E3" s="1">
        <v>6</v>
      </c>
      <c r="F3" s="1">
        <v>2622</v>
      </c>
      <c r="G3" s="4">
        <v>44928</v>
      </c>
      <c r="H3" s="1">
        <v>13875</v>
      </c>
      <c r="I3" s="6">
        <v>524.4</v>
      </c>
    </row>
    <row r="4" spans="1:9" x14ac:dyDescent="0.25">
      <c r="A4" s="5" t="s">
        <v>8</v>
      </c>
      <c r="B4" s="1" t="s">
        <v>1</v>
      </c>
      <c r="C4" s="1" t="s">
        <v>9</v>
      </c>
      <c r="D4" s="1" t="s">
        <v>10</v>
      </c>
      <c r="E4" s="1">
        <v>5</v>
      </c>
      <c r="F4" s="1">
        <v>49756</v>
      </c>
      <c r="G4" s="4">
        <v>44929</v>
      </c>
      <c r="H4" s="1">
        <v>2622</v>
      </c>
      <c r="I4" s="6">
        <v>9951.2000000000007</v>
      </c>
    </row>
    <row r="5" spans="1:9" x14ac:dyDescent="0.25">
      <c r="A5" s="5" t="s">
        <v>11</v>
      </c>
      <c r="B5" s="1" t="s">
        <v>1</v>
      </c>
      <c r="C5" s="1" t="s">
        <v>12</v>
      </c>
      <c r="D5" s="1" t="s">
        <v>13</v>
      </c>
      <c r="E5" s="1">
        <v>4</v>
      </c>
      <c r="F5" s="1">
        <v>41809</v>
      </c>
      <c r="G5" s="4">
        <v>44930</v>
      </c>
      <c r="H5" s="1">
        <v>49756</v>
      </c>
      <c r="I5" s="6">
        <v>8361.7999999999993</v>
      </c>
    </row>
    <row r="6" spans="1:9" x14ac:dyDescent="0.25">
      <c r="A6" s="5" t="s">
        <v>0</v>
      </c>
      <c r="B6" s="1" t="s">
        <v>14</v>
      </c>
      <c r="C6" s="1" t="s">
        <v>9</v>
      </c>
      <c r="D6" s="1" t="s">
        <v>10</v>
      </c>
      <c r="E6" s="1">
        <v>3</v>
      </c>
      <c r="F6" s="1">
        <v>17725</v>
      </c>
      <c r="G6" s="4">
        <v>44931</v>
      </c>
      <c r="H6" s="1">
        <v>41809</v>
      </c>
      <c r="I6" s="6">
        <v>3545</v>
      </c>
    </row>
    <row r="7" spans="1:9" x14ac:dyDescent="0.25">
      <c r="A7" s="5" t="s">
        <v>15</v>
      </c>
      <c r="B7" s="1" t="s">
        <v>1</v>
      </c>
      <c r="C7" s="1" t="s">
        <v>12</v>
      </c>
      <c r="D7" s="1" t="s">
        <v>3</v>
      </c>
      <c r="E7" s="1">
        <v>1</v>
      </c>
      <c r="F7" s="1">
        <v>41760</v>
      </c>
      <c r="G7" s="4">
        <v>44932</v>
      </c>
      <c r="H7" s="1">
        <v>17725</v>
      </c>
      <c r="I7" s="6">
        <v>8352</v>
      </c>
    </row>
    <row r="8" spans="1:9" x14ac:dyDescent="0.25">
      <c r="A8" s="5" t="s">
        <v>16</v>
      </c>
      <c r="B8" s="1" t="s">
        <v>17</v>
      </c>
      <c r="C8" s="1" t="s">
        <v>2</v>
      </c>
      <c r="D8" s="1" t="s">
        <v>3</v>
      </c>
      <c r="E8" s="1">
        <v>6</v>
      </c>
      <c r="F8" s="1">
        <v>16646</v>
      </c>
      <c r="G8" s="4">
        <v>44933</v>
      </c>
      <c r="H8" s="1">
        <v>41760</v>
      </c>
      <c r="I8" s="6">
        <v>3329.2</v>
      </c>
    </row>
    <row r="9" spans="1:9" x14ac:dyDescent="0.25">
      <c r="A9" s="5" t="s">
        <v>0</v>
      </c>
      <c r="B9" s="1" t="s">
        <v>17</v>
      </c>
      <c r="C9" s="1" t="s">
        <v>12</v>
      </c>
      <c r="D9" s="1" t="s">
        <v>3</v>
      </c>
      <c r="E9" s="1">
        <v>2</v>
      </c>
      <c r="F9" s="1">
        <v>18029</v>
      </c>
      <c r="G9" s="4">
        <v>44934</v>
      </c>
      <c r="H9" s="1">
        <v>16646</v>
      </c>
      <c r="I9" s="6">
        <v>3605.8</v>
      </c>
    </row>
    <row r="10" spans="1:9" x14ac:dyDescent="0.25">
      <c r="A10" s="5" t="s">
        <v>8</v>
      </c>
      <c r="B10" s="1" t="s">
        <v>5</v>
      </c>
      <c r="C10" s="1" t="s">
        <v>2</v>
      </c>
      <c r="D10" s="1" t="s">
        <v>18</v>
      </c>
      <c r="E10" s="1">
        <v>8</v>
      </c>
      <c r="F10" s="1">
        <v>30402</v>
      </c>
      <c r="G10" s="4">
        <v>44935</v>
      </c>
      <c r="H10" s="1">
        <v>18029</v>
      </c>
      <c r="I10" s="6">
        <v>6080.4</v>
      </c>
    </row>
    <row r="11" spans="1:9" x14ac:dyDescent="0.25">
      <c r="A11" s="5" t="s">
        <v>11</v>
      </c>
      <c r="B11" s="1" t="s">
        <v>1</v>
      </c>
      <c r="C11" s="1" t="s">
        <v>12</v>
      </c>
      <c r="D11" s="1" t="s">
        <v>18</v>
      </c>
      <c r="E11" s="1">
        <v>5</v>
      </c>
      <c r="F11" s="1">
        <v>5263</v>
      </c>
      <c r="G11" s="4">
        <v>44936</v>
      </c>
      <c r="H11" s="1">
        <v>30402</v>
      </c>
      <c r="I11" s="6">
        <v>1052.5999999999999</v>
      </c>
    </row>
    <row r="12" spans="1:9" x14ac:dyDescent="0.25">
      <c r="A12" s="5" t="s">
        <v>4</v>
      </c>
      <c r="B12" s="1" t="s">
        <v>5</v>
      </c>
      <c r="C12" s="1" t="s">
        <v>2</v>
      </c>
      <c r="D12" s="1" t="s">
        <v>19</v>
      </c>
      <c r="E12" s="1">
        <v>7</v>
      </c>
      <c r="F12" s="1">
        <v>31987</v>
      </c>
      <c r="G12" s="4">
        <v>44937</v>
      </c>
      <c r="H12" s="1">
        <v>5263</v>
      </c>
      <c r="I12" s="6">
        <v>6397.4</v>
      </c>
    </row>
    <row r="13" spans="1:9" x14ac:dyDescent="0.25">
      <c r="A13" s="5" t="s">
        <v>8</v>
      </c>
      <c r="B13" s="1" t="s">
        <v>17</v>
      </c>
      <c r="C13" s="1" t="s">
        <v>12</v>
      </c>
      <c r="D13" s="1" t="s">
        <v>19</v>
      </c>
      <c r="E13" s="1">
        <v>2</v>
      </c>
      <c r="F13" s="1">
        <v>47828</v>
      </c>
      <c r="G13" s="4">
        <v>44938</v>
      </c>
      <c r="H13" s="1">
        <v>31987</v>
      </c>
      <c r="I13" s="6">
        <v>9565.6</v>
      </c>
    </row>
    <row r="14" spans="1:9" x14ac:dyDescent="0.25">
      <c r="A14" s="5" t="s">
        <v>8</v>
      </c>
      <c r="B14" s="1" t="s">
        <v>1</v>
      </c>
      <c r="C14" s="1" t="s">
        <v>6</v>
      </c>
      <c r="D14" s="1" t="s">
        <v>3</v>
      </c>
      <c r="E14" s="1">
        <v>8</v>
      </c>
      <c r="F14" s="1">
        <v>48924</v>
      </c>
      <c r="G14" s="4">
        <v>44939</v>
      </c>
      <c r="H14" s="1">
        <v>47828</v>
      </c>
      <c r="I14" s="6">
        <v>9784.7999999999993</v>
      </c>
    </row>
    <row r="15" spans="1:9" x14ac:dyDescent="0.25">
      <c r="A15" s="5" t="s">
        <v>16</v>
      </c>
      <c r="B15" s="1" t="s">
        <v>1</v>
      </c>
      <c r="C15" s="1" t="s">
        <v>12</v>
      </c>
      <c r="D15" s="1" t="s">
        <v>7</v>
      </c>
      <c r="E15" s="1">
        <v>2</v>
      </c>
      <c r="F15" s="1">
        <v>9646</v>
      </c>
      <c r="G15" s="4">
        <v>44940</v>
      </c>
      <c r="H15" s="1">
        <v>48924</v>
      </c>
      <c r="I15" s="6">
        <v>1929.2</v>
      </c>
    </row>
    <row r="16" spans="1:9" x14ac:dyDescent="0.25">
      <c r="A16" s="5" t="s">
        <v>20</v>
      </c>
      <c r="B16" s="1" t="s">
        <v>5</v>
      </c>
      <c r="C16" s="1" t="s">
        <v>12</v>
      </c>
      <c r="D16" s="1" t="s">
        <v>21</v>
      </c>
      <c r="E16" s="1">
        <v>4</v>
      </c>
      <c r="F16" s="1">
        <v>28529</v>
      </c>
      <c r="G16" s="4">
        <v>44941</v>
      </c>
      <c r="H16" s="1">
        <v>9646</v>
      </c>
      <c r="I16" s="6">
        <v>5705.8</v>
      </c>
    </row>
    <row r="17" spans="1:9" x14ac:dyDescent="0.25">
      <c r="A17" s="5" t="s">
        <v>11</v>
      </c>
      <c r="B17" s="1" t="s">
        <v>17</v>
      </c>
      <c r="C17" s="1" t="s">
        <v>6</v>
      </c>
      <c r="D17" s="1" t="s">
        <v>18</v>
      </c>
      <c r="E17" s="1">
        <v>1</v>
      </c>
      <c r="F17" s="1">
        <v>12664</v>
      </c>
      <c r="G17" s="4">
        <v>44942</v>
      </c>
      <c r="H17" s="1">
        <v>28529</v>
      </c>
      <c r="I17" s="6">
        <v>2532.8000000000002</v>
      </c>
    </row>
    <row r="18" spans="1:9" x14ac:dyDescent="0.25">
      <c r="A18" s="5" t="s">
        <v>22</v>
      </c>
      <c r="B18" s="1" t="s">
        <v>1</v>
      </c>
      <c r="C18" s="1" t="s">
        <v>9</v>
      </c>
      <c r="D18" s="1" t="s">
        <v>7</v>
      </c>
      <c r="E18" s="1">
        <v>5</v>
      </c>
      <c r="F18" s="1">
        <v>36737</v>
      </c>
      <c r="G18" s="4">
        <v>44943</v>
      </c>
      <c r="H18" s="1">
        <v>12664</v>
      </c>
      <c r="I18" s="6">
        <v>7347.4</v>
      </c>
    </row>
    <row r="19" spans="1:9" x14ac:dyDescent="0.25">
      <c r="A19" s="5" t="s">
        <v>8</v>
      </c>
      <c r="B19" s="1" t="s">
        <v>5</v>
      </c>
      <c r="C19" s="1" t="s">
        <v>9</v>
      </c>
      <c r="D19" s="1" t="s">
        <v>23</v>
      </c>
      <c r="E19" s="1">
        <v>9</v>
      </c>
      <c r="F19" s="1">
        <v>36796</v>
      </c>
      <c r="G19" s="4">
        <v>44944</v>
      </c>
      <c r="H19" s="1">
        <v>36737</v>
      </c>
      <c r="I19" s="6">
        <v>7359.2</v>
      </c>
    </row>
    <row r="20" spans="1:9" x14ac:dyDescent="0.25">
      <c r="A20" s="5" t="s">
        <v>20</v>
      </c>
      <c r="B20" s="1" t="s">
        <v>17</v>
      </c>
      <c r="C20" s="1" t="s">
        <v>12</v>
      </c>
      <c r="D20" s="1" t="s">
        <v>18</v>
      </c>
      <c r="E20" s="1">
        <v>1</v>
      </c>
      <c r="F20" s="1">
        <v>25027</v>
      </c>
      <c r="G20" s="4">
        <v>44945</v>
      </c>
      <c r="H20" s="1">
        <v>36796</v>
      </c>
      <c r="I20" s="6">
        <v>5005.3999999999996</v>
      </c>
    </row>
    <row r="21" spans="1:9" x14ac:dyDescent="0.25">
      <c r="A21" s="5" t="s">
        <v>22</v>
      </c>
      <c r="B21" s="1" t="s">
        <v>5</v>
      </c>
      <c r="C21" s="1" t="s">
        <v>6</v>
      </c>
      <c r="D21" s="1" t="s">
        <v>18</v>
      </c>
      <c r="E21" s="1">
        <v>9</v>
      </c>
      <c r="F21" s="1">
        <v>30373</v>
      </c>
      <c r="G21" s="4">
        <v>44946</v>
      </c>
      <c r="H21" s="1">
        <v>25027</v>
      </c>
      <c r="I21" s="6">
        <v>6074.6</v>
      </c>
    </row>
    <row r="22" spans="1:9" x14ac:dyDescent="0.25">
      <c r="A22" s="5" t="s">
        <v>11</v>
      </c>
      <c r="B22" s="1" t="s">
        <v>14</v>
      </c>
      <c r="C22" s="1" t="s">
        <v>12</v>
      </c>
      <c r="D22" s="1" t="s">
        <v>19</v>
      </c>
      <c r="E22" s="1">
        <v>8</v>
      </c>
      <c r="F22" s="1">
        <v>37397</v>
      </c>
      <c r="G22" s="4">
        <v>44947</v>
      </c>
      <c r="H22" s="1">
        <v>30373</v>
      </c>
      <c r="I22" s="6">
        <v>7479.4</v>
      </c>
    </row>
    <row r="23" spans="1:9" x14ac:dyDescent="0.25">
      <c r="A23" s="5" t="s">
        <v>24</v>
      </c>
      <c r="B23" s="1" t="s">
        <v>1</v>
      </c>
      <c r="C23" s="1" t="s">
        <v>2</v>
      </c>
      <c r="D23" s="1" t="s">
        <v>21</v>
      </c>
      <c r="E23" s="1">
        <v>6</v>
      </c>
      <c r="F23" s="1">
        <v>21609</v>
      </c>
      <c r="G23" s="4">
        <v>44948</v>
      </c>
      <c r="H23" s="1">
        <v>37397</v>
      </c>
      <c r="I23" s="6">
        <v>4321.8</v>
      </c>
    </row>
    <row r="24" spans="1:9" x14ac:dyDescent="0.25">
      <c r="A24" s="5" t="s">
        <v>15</v>
      </c>
      <c r="B24" s="1" t="s">
        <v>14</v>
      </c>
      <c r="C24" s="1" t="s">
        <v>2</v>
      </c>
      <c r="D24" s="1" t="s">
        <v>21</v>
      </c>
      <c r="E24" s="1">
        <v>7</v>
      </c>
      <c r="F24" s="1">
        <v>36835</v>
      </c>
      <c r="G24" s="4">
        <v>44949</v>
      </c>
      <c r="H24" s="1">
        <v>21609</v>
      </c>
      <c r="I24" s="6">
        <v>7367</v>
      </c>
    </row>
    <row r="25" spans="1:9" x14ac:dyDescent="0.25">
      <c r="A25" s="5" t="s">
        <v>20</v>
      </c>
      <c r="B25" s="1" t="s">
        <v>17</v>
      </c>
      <c r="C25" s="1" t="s">
        <v>12</v>
      </c>
      <c r="D25" s="1" t="s">
        <v>13</v>
      </c>
      <c r="E25" s="1">
        <v>3</v>
      </c>
      <c r="F25" s="1">
        <v>39709</v>
      </c>
      <c r="G25" s="4">
        <v>44950</v>
      </c>
      <c r="H25" s="1">
        <v>36835</v>
      </c>
      <c r="I25" s="6">
        <v>7941.8</v>
      </c>
    </row>
    <row r="26" spans="1:9" x14ac:dyDescent="0.25">
      <c r="A26" s="5" t="s">
        <v>25</v>
      </c>
      <c r="B26" s="1" t="s">
        <v>14</v>
      </c>
      <c r="C26" s="1" t="s">
        <v>9</v>
      </c>
      <c r="D26" s="1" t="s">
        <v>10</v>
      </c>
      <c r="E26" s="1">
        <v>1</v>
      </c>
      <c r="F26" s="1">
        <v>20250</v>
      </c>
      <c r="G26" s="4">
        <v>44951</v>
      </c>
      <c r="H26" s="1">
        <v>39709</v>
      </c>
      <c r="I26" s="6">
        <v>4050</v>
      </c>
    </row>
    <row r="27" spans="1:9" x14ac:dyDescent="0.25">
      <c r="A27" s="5" t="s">
        <v>24</v>
      </c>
      <c r="B27" s="1" t="s">
        <v>14</v>
      </c>
      <c r="C27" s="1" t="s">
        <v>9</v>
      </c>
      <c r="D27" s="1" t="s">
        <v>10</v>
      </c>
      <c r="E27" s="1">
        <v>5</v>
      </c>
      <c r="F27" s="1">
        <v>22172</v>
      </c>
      <c r="G27" s="4">
        <v>44952</v>
      </c>
      <c r="H27" s="1">
        <v>20250</v>
      </c>
      <c r="I27" s="6">
        <v>4434.3999999999996</v>
      </c>
    </row>
    <row r="28" spans="1:9" x14ac:dyDescent="0.25">
      <c r="A28" s="5" t="s">
        <v>15</v>
      </c>
      <c r="B28" s="1" t="s">
        <v>17</v>
      </c>
      <c r="C28" s="1" t="s">
        <v>12</v>
      </c>
      <c r="D28" s="1" t="s">
        <v>10</v>
      </c>
      <c r="E28" s="1">
        <v>2</v>
      </c>
      <c r="F28" s="1">
        <v>12555</v>
      </c>
      <c r="G28" s="4">
        <v>44953</v>
      </c>
      <c r="H28" s="1">
        <v>22172</v>
      </c>
      <c r="I28" s="6">
        <v>2511</v>
      </c>
    </row>
    <row r="29" spans="1:9" x14ac:dyDescent="0.25">
      <c r="A29" s="5" t="s">
        <v>16</v>
      </c>
      <c r="B29" s="1" t="s">
        <v>5</v>
      </c>
      <c r="C29" s="1" t="s">
        <v>12</v>
      </c>
      <c r="D29" s="1" t="s">
        <v>10</v>
      </c>
      <c r="E29" s="1">
        <v>5</v>
      </c>
      <c r="F29" s="1">
        <v>22874</v>
      </c>
      <c r="G29" s="4">
        <v>44954</v>
      </c>
      <c r="H29" s="1">
        <v>12555</v>
      </c>
      <c r="I29" s="6">
        <v>4574.8</v>
      </c>
    </row>
    <row r="30" spans="1:9" x14ac:dyDescent="0.25">
      <c r="A30" s="5" t="s">
        <v>0</v>
      </c>
      <c r="B30" s="1" t="s">
        <v>14</v>
      </c>
      <c r="C30" s="1" t="s">
        <v>2</v>
      </c>
      <c r="D30" s="1" t="s">
        <v>23</v>
      </c>
      <c r="E30" s="1">
        <v>8</v>
      </c>
      <c r="F30" s="1">
        <v>14081</v>
      </c>
      <c r="G30" s="4">
        <v>44955</v>
      </c>
      <c r="H30" s="1">
        <v>22874</v>
      </c>
      <c r="I30" s="6">
        <v>2816.2</v>
      </c>
    </row>
    <row r="31" spans="1:9" x14ac:dyDescent="0.25">
      <c r="A31" s="5" t="s">
        <v>4</v>
      </c>
      <c r="B31" s="1" t="s">
        <v>5</v>
      </c>
      <c r="C31" s="1" t="s">
        <v>9</v>
      </c>
      <c r="D31" s="1" t="s">
        <v>23</v>
      </c>
      <c r="E31" s="1">
        <v>9</v>
      </c>
      <c r="F31" s="1">
        <v>25063</v>
      </c>
      <c r="G31" s="4">
        <v>44956</v>
      </c>
      <c r="H31" s="1">
        <v>14081</v>
      </c>
      <c r="I31" s="6">
        <v>5012.6000000000004</v>
      </c>
    </row>
    <row r="32" spans="1:9" x14ac:dyDescent="0.25">
      <c r="A32" s="5" t="s">
        <v>25</v>
      </c>
      <c r="B32" s="1" t="s">
        <v>14</v>
      </c>
      <c r="C32" s="1" t="s">
        <v>12</v>
      </c>
      <c r="D32" s="1" t="s">
        <v>18</v>
      </c>
      <c r="E32" s="1">
        <v>2</v>
      </c>
      <c r="F32" s="1">
        <v>7819</v>
      </c>
      <c r="G32" s="4">
        <v>44957</v>
      </c>
      <c r="H32" s="1">
        <v>25063</v>
      </c>
      <c r="I32" s="6">
        <v>1563.8</v>
      </c>
    </row>
    <row r="33" spans="1:9" x14ac:dyDescent="0.25">
      <c r="A33" s="5" t="s">
        <v>16</v>
      </c>
      <c r="B33" s="1" t="s">
        <v>5</v>
      </c>
      <c r="C33" s="1" t="s">
        <v>2</v>
      </c>
      <c r="D33" s="1" t="s">
        <v>3</v>
      </c>
      <c r="E33" s="1">
        <v>3</v>
      </c>
      <c r="F33" s="1">
        <v>26712</v>
      </c>
      <c r="G33" s="4">
        <v>44958</v>
      </c>
      <c r="H33" s="1">
        <v>7819</v>
      </c>
      <c r="I33" s="6">
        <v>5342.4</v>
      </c>
    </row>
    <row r="34" spans="1:9" x14ac:dyDescent="0.25">
      <c r="A34" s="5" t="s">
        <v>11</v>
      </c>
      <c r="B34" s="1" t="s">
        <v>17</v>
      </c>
      <c r="C34" s="1" t="s">
        <v>9</v>
      </c>
      <c r="D34" s="1" t="s">
        <v>19</v>
      </c>
      <c r="E34" s="1">
        <v>3</v>
      </c>
      <c r="F34" s="1">
        <v>25762</v>
      </c>
      <c r="G34" s="4">
        <v>44959</v>
      </c>
      <c r="H34" s="1">
        <v>26712</v>
      </c>
      <c r="I34" s="6">
        <v>5152.3999999999996</v>
      </c>
    </row>
    <row r="35" spans="1:9" x14ac:dyDescent="0.25">
      <c r="A35" s="5" t="s">
        <v>16</v>
      </c>
      <c r="B35" s="1" t="s">
        <v>14</v>
      </c>
      <c r="C35" s="1" t="s">
        <v>6</v>
      </c>
      <c r="D35" s="1" t="s">
        <v>19</v>
      </c>
      <c r="E35" s="1">
        <v>1</v>
      </c>
      <c r="F35" s="1">
        <v>12046</v>
      </c>
      <c r="G35" s="4">
        <v>44960</v>
      </c>
      <c r="H35" s="1">
        <v>25762</v>
      </c>
      <c r="I35" s="6">
        <v>2409.1999999999998</v>
      </c>
    </row>
    <row r="36" spans="1:9" x14ac:dyDescent="0.25">
      <c r="A36" s="5" t="s">
        <v>0</v>
      </c>
      <c r="B36" s="1" t="s">
        <v>17</v>
      </c>
      <c r="C36" s="1" t="s">
        <v>2</v>
      </c>
      <c r="D36" s="1" t="s">
        <v>10</v>
      </c>
      <c r="E36" s="1">
        <v>8</v>
      </c>
      <c r="F36" s="1">
        <v>32463</v>
      </c>
      <c r="G36" s="4">
        <v>44961</v>
      </c>
      <c r="H36" s="1">
        <v>12046</v>
      </c>
      <c r="I36" s="6">
        <v>6492.6</v>
      </c>
    </row>
    <row r="37" spans="1:9" x14ac:dyDescent="0.25">
      <c r="A37" s="5" t="s">
        <v>11</v>
      </c>
      <c r="B37" s="1" t="s">
        <v>14</v>
      </c>
      <c r="C37" s="1" t="s">
        <v>9</v>
      </c>
      <c r="D37" s="1" t="s">
        <v>18</v>
      </c>
      <c r="E37" s="1">
        <v>6</v>
      </c>
      <c r="F37" s="1">
        <v>29769</v>
      </c>
      <c r="G37" s="4">
        <v>44962</v>
      </c>
      <c r="H37" s="1">
        <v>32463</v>
      </c>
      <c r="I37" s="6">
        <v>5953.8</v>
      </c>
    </row>
    <row r="38" spans="1:9" x14ac:dyDescent="0.25">
      <c r="A38" s="5" t="s">
        <v>25</v>
      </c>
      <c r="B38" s="1" t="s">
        <v>17</v>
      </c>
      <c r="C38" s="1" t="s">
        <v>9</v>
      </c>
      <c r="D38" s="1" t="s">
        <v>13</v>
      </c>
      <c r="E38" s="1">
        <v>8</v>
      </c>
      <c r="F38" s="1">
        <v>24150</v>
      </c>
      <c r="G38" s="4">
        <v>44963</v>
      </c>
      <c r="H38" s="1">
        <v>29769</v>
      </c>
      <c r="I38" s="6">
        <v>4830</v>
      </c>
    </row>
    <row r="39" spans="1:9" x14ac:dyDescent="0.25">
      <c r="A39" s="5" t="s">
        <v>0</v>
      </c>
      <c r="B39" s="1" t="s">
        <v>17</v>
      </c>
      <c r="C39" s="1" t="s">
        <v>2</v>
      </c>
      <c r="D39" s="1" t="s">
        <v>7</v>
      </c>
      <c r="E39" s="1">
        <v>9</v>
      </c>
      <c r="F39" s="1">
        <v>3711</v>
      </c>
      <c r="G39" s="4">
        <v>44964</v>
      </c>
      <c r="H39" s="1">
        <v>24150</v>
      </c>
      <c r="I39" s="6">
        <v>742.2</v>
      </c>
    </row>
    <row r="40" spans="1:9" x14ac:dyDescent="0.25">
      <c r="A40" s="5" t="s">
        <v>22</v>
      </c>
      <c r="B40" s="1" t="s">
        <v>14</v>
      </c>
      <c r="C40" s="1" t="s">
        <v>6</v>
      </c>
      <c r="D40" s="1" t="s">
        <v>3</v>
      </c>
      <c r="E40" s="1">
        <v>5</v>
      </c>
      <c r="F40" s="1">
        <v>5853</v>
      </c>
      <c r="G40" s="4">
        <v>44965</v>
      </c>
      <c r="H40" s="1">
        <v>3711</v>
      </c>
      <c r="I40" s="6">
        <v>1170.5999999999999</v>
      </c>
    </row>
    <row r="41" spans="1:9" x14ac:dyDescent="0.25">
      <c r="A41" s="5" t="s">
        <v>4</v>
      </c>
      <c r="B41" s="1" t="s">
        <v>14</v>
      </c>
      <c r="C41" s="1" t="s">
        <v>2</v>
      </c>
      <c r="D41" s="1" t="s">
        <v>18</v>
      </c>
      <c r="E41" s="1">
        <v>3</v>
      </c>
      <c r="F41" s="1">
        <v>30077</v>
      </c>
      <c r="G41" s="4">
        <v>44966</v>
      </c>
      <c r="H41" s="1">
        <v>5853</v>
      </c>
      <c r="I41" s="6">
        <v>6015.4</v>
      </c>
    </row>
    <row r="42" spans="1:9" x14ac:dyDescent="0.25">
      <c r="A42" s="5" t="s">
        <v>25</v>
      </c>
      <c r="B42" s="1" t="s">
        <v>14</v>
      </c>
      <c r="C42" s="1" t="s">
        <v>9</v>
      </c>
      <c r="D42" s="1" t="s">
        <v>3</v>
      </c>
      <c r="E42" s="1">
        <v>5</v>
      </c>
      <c r="F42" s="1">
        <v>24863</v>
      </c>
      <c r="G42" s="4">
        <v>44967</v>
      </c>
      <c r="H42" s="1">
        <v>30077</v>
      </c>
      <c r="I42" s="6">
        <v>4972.6000000000004</v>
      </c>
    </row>
    <row r="43" spans="1:9" x14ac:dyDescent="0.25">
      <c r="A43" s="5" t="s">
        <v>22</v>
      </c>
      <c r="B43" s="1" t="s">
        <v>1</v>
      </c>
      <c r="C43" s="1" t="s">
        <v>12</v>
      </c>
      <c r="D43" s="1" t="s">
        <v>3</v>
      </c>
      <c r="E43" s="1">
        <v>5</v>
      </c>
      <c r="F43" s="1">
        <v>22792</v>
      </c>
      <c r="G43" s="4">
        <v>44968</v>
      </c>
      <c r="H43" s="1">
        <v>24863</v>
      </c>
      <c r="I43" s="6">
        <v>4558.3999999999996</v>
      </c>
    </row>
    <row r="44" spans="1:9" x14ac:dyDescent="0.25">
      <c r="A44" s="5" t="s">
        <v>15</v>
      </c>
      <c r="B44" s="1" t="s">
        <v>5</v>
      </c>
      <c r="C44" s="1" t="s">
        <v>12</v>
      </c>
      <c r="D44" s="1" t="s">
        <v>3</v>
      </c>
      <c r="E44" s="1">
        <v>5</v>
      </c>
      <c r="F44" s="1">
        <v>41483</v>
      </c>
      <c r="G44" s="4">
        <v>44969</v>
      </c>
      <c r="H44" s="1">
        <v>22792</v>
      </c>
      <c r="I44" s="6">
        <v>8296.6</v>
      </c>
    </row>
    <row r="45" spans="1:9" x14ac:dyDescent="0.25">
      <c r="A45" s="5" t="s">
        <v>25</v>
      </c>
      <c r="B45" s="1" t="s">
        <v>1</v>
      </c>
      <c r="C45" s="1" t="s">
        <v>2</v>
      </c>
      <c r="D45" s="1" t="s">
        <v>18</v>
      </c>
      <c r="E45" s="1">
        <v>3</v>
      </c>
      <c r="F45" s="1">
        <v>9942</v>
      </c>
      <c r="G45" s="4">
        <v>44970</v>
      </c>
      <c r="H45" s="1">
        <v>41483</v>
      </c>
      <c r="I45" s="6">
        <v>1988.4</v>
      </c>
    </row>
    <row r="46" spans="1:9" x14ac:dyDescent="0.25">
      <c r="A46" s="5" t="s">
        <v>15</v>
      </c>
      <c r="B46" s="1" t="s">
        <v>1</v>
      </c>
      <c r="C46" s="1" t="s">
        <v>9</v>
      </c>
      <c r="D46" s="1" t="s">
        <v>10</v>
      </c>
      <c r="E46" s="1">
        <v>4</v>
      </c>
      <c r="F46" s="1">
        <v>49275</v>
      </c>
      <c r="G46" s="4">
        <v>44971</v>
      </c>
      <c r="H46" s="1">
        <v>9942</v>
      </c>
      <c r="I46" s="6">
        <v>9855</v>
      </c>
    </row>
    <row r="47" spans="1:9" x14ac:dyDescent="0.25">
      <c r="A47" s="5" t="s">
        <v>11</v>
      </c>
      <c r="B47" s="1" t="s">
        <v>17</v>
      </c>
      <c r="C47" s="1" t="s">
        <v>12</v>
      </c>
      <c r="D47" s="1" t="s">
        <v>19</v>
      </c>
      <c r="E47" s="1">
        <v>9</v>
      </c>
      <c r="F47" s="1">
        <v>49594</v>
      </c>
      <c r="G47" s="4">
        <v>44972</v>
      </c>
      <c r="H47" s="1">
        <v>49275</v>
      </c>
      <c r="I47" s="6">
        <v>9918.7999999999993</v>
      </c>
    </row>
    <row r="48" spans="1:9" x14ac:dyDescent="0.25">
      <c r="A48" s="5" t="s">
        <v>22</v>
      </c>
      <c r="B48" s="1" t="s">
        <v>14</v>
      </c>
      <c r="C48" s="1" t="s">
        <v>9</v>
      </c>
      <c r="D48" s="1" t="s">
        <v>19</v>
      </c>
      <c r="E48" s="1">
        <v>9</v>
      </c>
      <c r="F48" s="1">
        <v>2762</v>
      </c>
      <c r="G48" s="4">
        <v>44973</v>
      </c>
      <c r="H48" s="1">
        <v>49594</v>
      </c>
      <c r="I48" s="6">
        <v>552.4</v>
      </c>
    </row>
    <row r="49" spans="1:9" x14ac:dyDescent="0.25">
      <c r="A49" s="5" t="s">
        <v>4</v>
      </c>
      <c r="B49" s="1" t="s">
        <v>5</v>
      </c>
      <c r="C49" s="1" t="s">
        <v>2</v>
      </c>
      <c r="D49" s="1" t="s">
        <v>10</v>
      </c>
      <c r="E49" s="1">
        <v>2</v>
      </c>
      <c r="F49" s="1">
        <v>32987</v>
      </c>
      <c r="G49" s="4">
        <v>44974</v>
      </c>
      <c r="H49" s="1">
        <v>2762</v>
      </c>
      <c r="I49" s="6">
        <v>6597.4</v>
      </c>
    </row>
    <row r="50" spans="1:9" x14ac:dyDescent="0.25">
      <c r="A50" s="5" t="s">
        <v>0</v>
      </c>
      <c r="B50" s="1" t="s">
        <v>17</v>
      </c>
      <c r="C50" s="1" t="s">
        <v>12</v>
      </c>
      <c r="D50" s="1" t="s">
        <v>3</v>
      </c>
      <c r="E50" s="1">
        <v>8</v>
      </c>
      <c r="F50" s="1">
        <v>16850</v>
      </c>
      <c r="G50" s="4">
        <v>44975</v>
      </c>
      <c r="H50" s="1">
        <v>32987</v>
      </c>
      <c r="I50" s="6">
        <v>3370</v>
      </c>
    </row>
    <row r="51" spans="1:9" x14ac:dyDescent="0.25">
      <c r="A51" s="5" t="s">
        <v>8</v>
      </c>
      <c r="B51" s="1" t="s">
        <v>1</v>
      </c>
      <c r="C51" s="1" t="s">
        <v>9</v>
      </c>
      <c r="D51" s="1" t="s">
        <v>7</v>
      </c>
      <c r="E51" s="1">
        <v>8</v>
      </c>
      <c r="F51" s="1">
        <v>13112</v>
      </c>
      <c r="G51" s="4">
        <v>44976</v>
      </c>
      <c r="H51" s="1">
        <v>16850</v>
      </c>
      <c r="I51" s="6">
        <v>2622.4</v>
      </c>
    </row>
    <row r="52" spans="1:9" x14ac:dyDescent="0.25">
      <c r="A52" s="5" t="s">
        <v>16</v>
      </c>
      <c r="B52" s="1" t="s">
        <v>14</v>
      </c>
      <c r="C52" s="1" t="s">
        <v>12</v>
      </c>
      <c r="D52" s="1" t="s">
        <v>21</v>
      </c>
      <c r="E52" s="1">
        <v>7</v>
      </c>
      <c r="F52" s="1">
        <v>25058</v>
      </c>
      <c r="G52" s="4">
        <v>44977</v>
      </c>
      <c r="H52" s="1">
        <v>13112</v>
      </c>
      <c r="I52" s="6">
        <v>5011.6000000000004</v>
      </c>
    </row>
    <row r="53" spans="1:9" x14ac:dyDescent="0.25">
      <c r="A53" s="5" t="s">
        <v>24</v>
      </c>
      <c r="B53" s="1" t="s">
        <v>17</v>
      </c>
      <c r="C53" s="1" t="s">
        <v>2</v>
      </c>
      <c r="D53" s="1" t="s">
        <v>18</v>
      </c>
      <c r="E53" s="1">
        <v>8</v>
      </c>
      <c r="F53" s="1">
        <v>46420</v>
      </c>
      <c r="G53" s="4">
        <v>44978</v>
      </c>
      <c r="H53" s="1">
        <v>25058</v>
      </c>
      <c r="I53" s="6">
        <v>9284</v>
      </c>
    </row>
    <row r="54" spans="1:9" x14ac:dyDescent="0.25">
      <c r="A54" s="5" t="s">
        <v>4</v>
      </c>
      <c r="B54" s="1" t="s">
        <v>14</v>
      </c>
      <c r="C54" s="1" t="s">
        <v>9</v>
      </c>
      <c r="D54" s="1" t="s">
        <v>21</v>
      </c>
      <c r="E54" s="1">
        <v>3</v>
      </c>
      <c r="F54" s="1">
        <v>39890</v>
      </c>
      <c r="G54" s="4">
        <v>44979</v>
      </c>
      <c r="H54" s="1">
        <v>46420</v>
      </c>
      <c r="I54" s="6">
        <v>7978</v>
      </c>
    </row>
    <row r="55" spans="1:9" x14ac:dyDescent="0.25">
      <c r="A55" s="5" t="s">
        <v>22</v>
      </c>
      <c r="B55" s="1" t="s">
        <v>17</v>
      </c>
      <c r="C55" s="1" t="s">
        <v>12</v>
      </c>
      <c r="D55" s="1" t="s">
        <v>13</v>
      </c>
      <c r="E55" s="1">
        <v>6</v>
      </c>
      <c r="F55" s="1">
        <v>1481</v>
      </c>
      <c r="G55" s="4">
        <v>44980</v>
      </c>
      <c r="H55" s="1">
        <v>39890</v>
      </c>
      <c r="I55" s="6">
        <v>296.2</v>
      </c>
    </row>
    <row r="56" spans="1:9" x14ac:dyDescent="0.25">
      <c r="A56" s="5" t="s">
        <v>8</v>
      </c>
      <c r="B56" s="1" t="s">
        <v>14</v>
      </c>
      <c r="C56" s="1" t="s">
        <v>2</v>
      </c>
      <c r="D56" s="1" t="s">
        <v>10</v>
      </c>
      <c r="E56" s="1">
        <v>1</v>
      </c>
      <c r="F56" s="1">
        <v>48304</v>
      </c>
      <c r="G56" s="4">
        <v>44981</v>
      </c>
      <c r="H56" s="1">
        <v>1481</v>
      </c>
      <c r="I56" s="6">
        <v>9660.7999999999993</v>
      </c>
    </row>
    <row r="57" spans="1:9" x14ac:dyDescent="0.25">
      <c r="A57" s="5" t="s">
        <v>4</v>
      </c>
      <c r="B57" s="1" t="s">
        <v>1</v>
      </c>
      <c r="C57" s="1" t="s">
        <v>12</v>
      </c>
      <c r="D57" s="1" t="s">
        <v>7</v>
      </c>
      <c r="E57" s="1">
        <v>7</v>
      </c>
      <c r="F57" s="1">
        <v>33921</v>
      </c>
      <c r="G57" s="4">
        <v>44982</v>
      </c>
      <c r="H57" s="1">
        <v>48304</v>
      </c>
      <c r="I57" s="6">
        <v>6784.2</v>
      </c>
    </row>
    <row r="58" spans="1:9" x14ac:dyDescent="0.25">
      <c r="A58" s="5" t="s">
        <v>22</v>
      </c>
      <c r="B58" s="1" t="s">
        <v>5</v>
      </c>
      <c r="C58" s="1" t="s">
        <v>12</v>
      </c>
      <c r="D58" s="1" t="s">
        <v>18</v>
      </c>
      <c r="E58" s="1">
        <v>1</v>
      </c>
      <c r="F58" s="1">
        <v>41385</v>
      </c>
      <c r="G58" s="4">
        <v>44983</v>
      </c>
      <c r="H58" s="1">
        <v>33921</v>
      </c>
      <c r="I58" s="6">
        <v>8277</v>
      </c>
    </row>
    <row r="59" spans="1:9" x14ac:dyDescent="0.25">
      <c r="A59" s="5" t="s">
        <v>20</v>
      </c>
      <c r="B59" s="1" t="s">
        <v>1</v>
      </c>
      <c r="C59" s="1" t="s">
        <v>6</v>
      </c>
      <c r="D59" s="1" t="s">
        <v>10</v>
      </c>
      <c r="E59" s="1">
        <v>9</v>
      </c>
      <c r="F59" s="1">
        <v>2524</v>
      </c>
      <c r="G59" s="4">
        <v>44984</v>
      </c>
      <c r="H59" s="1">
        <v>41385</v>
      </c>
      <c r="I59" s="6">
        <v>504.8</v>
      </c>
    </row>
    <row r="60" spans="1:9" x14ac:dyDescent="0.25">
      <c r="A60" s="5" t="s">
        <v>20</v>
      </c>
      <c r="B60" s="1" t="s">
        <v>5</v>
      </c>
      <c r="C60" s="1" t="s">
        <v>6</v>
      </c>
      <c r="D60" s="1" t="s">
        <v>3</v>
      </c>
      <c r="E60" s="1">
        <v>1</v>
      </c>
      <c r="F60" s="1">
        <v>35888</v>
      </c>
      <c r="G60" s="4">
        <v>44985</v>
      </c>
      <c r="H60" s="1">
        <v>2524</v>
      </c>
      <c r="I60" s="6">
        <v>7177.6</v>
      </c>
    </row>
    <row r="61" spans="1:9" x14ac:dyDescent="0.25">
      <c r="A61" s="5" t="s">
        <v>15</v>
      </c>
      <c r="B61" s="1" t="s">
        <v>14</v>
      </c>
      <c r="C61" s="1" t="s">
        <v>2</v>
      </c>
      <c r="D61" s="1" t="s">
        <v>19</v>
      </c>
      <c r="E61" s="1">
        <v>1</v>
      </c>
      <c r="F61" s="1">
        <v>16048</v>
      </c>
      <c r="G61" s="4">
        <v>44986</v>
      </c>
      <c r="H61" s="1">
        <v>35888</v>
      </c>
      <c r="I61" s="6">
        <v>3209.6</v>
      </c>
    </row>
    <row r="62" spans="1:9" x14ac:dyDescent="0.25">
      <c r="A62" s="5" t="s">
        <v>4</v>
      </c>
      <c r="B62" s="1" t="s">
        <v>17</v>
      </c>
      <c r="C62" s="1" t="s">
        <v>6</v>
      </c>
      <c r="D62" s="1" t="s">
        <v>21</v>
      </c>
      <c r="E62" s="1">
        <v>7</v>
      </c>
      <c r="F62" s="1">
        <v>36111</v>
      </c>
      <c r="G62" s="4">
        <v>44987</v>
      </c>
      <c r="H62" s="1">
        <v>16048</v>
      </c>
      <c r="I62" s="6">
        <v>7222.2</v>
      </c>
    </row>
    <row r="63" spans="1:9" x14ac:dyDescent="0.25">
      <c r="A63" s="5" t="s">
        <v>20</v>
      </c>
      <c r="B63" s="1" t="s">
        <v>1</v>
      </c>
      <c r="C63" s="1" t="s">
        <v>2</v>
      </c>
      <c r="D63" s="1" t="s">
        <v>23</v>
      </c>
      <c r="E63" s="1">
        <v>2</v>
      </c>
      <c r="F63" s="1">
        <v>38904</v>
      </c>
      <c r="G63" s="4">
        <v>44988</v>
      </c>
      <c r="H63" s="1">
        <v>36111</v>
      </c>
      <c r="I63" s="6">
        <v>7780.8</v>
      </c>
    </row>
    <row r="64" spans="1:9" x14ac:dyDescent="0.25">
      <c r="A64" s="5" t="s">
        <v>22</v>
      </c>
      <c r="B64" s="1" t="s">
        <v>5</v>
      </c>
      <c r="C64" s="1" t="s">
        <v>6</v>
      </c>
      <c r="D64" s="1" t="s">
        <v>23</v>
      </c>
      <c r="E64" s="1">
        <v>5</v>
      </c>
      <c r="F64" s="1">
        <v>35008</v>
      </c>
      <c r="G64" s="4">
        <v>44989</v>
      </c>
      <c r="H64" s="1">
        <v>38904</v>
      </c>
      <c r="I64" s="6">
        <v>7001.6</v>
      </c>
    </row>
    <row r="65" spans="1:9" x14ac:dyDescent="0.25">
      <c r="A65" s="5" t="s">
        <v>15</v>
      </c>
      <c r="B65" s="1" t="s">
        <v>1</v>
      </c>
      <c r="C65" s="1" t="s">
        <v>12</v>
      </c>
      <c r="D65" s="1" t="s">
        <v>7</v>
      </c>
      <c r="E65" s="1">
        <v>8</v>
      </c>
      <c r="F65" s="1">
        <v>1060</v>
      </c>
      <c r="G65" s="4">
        <v>44990</v>
      </c>
      <c r="H65" s="1">
        <v>35008</v>
      </c>
      <c r="I65" s="6">
        <v>212</v>
      </c>
    </row>
    <row r="66" spans="1:9" x14ac:dyDescent="0.25">
      <c r="A66" s="5" t="s">
        <v>22</v>
      </c>
      <c r="B66" s="1" t="s">
        <v>5</v>
      </c>
      <c r="C66" s="1" t="s">
        <v>2</v>
      </c>
      <c r="D66" s="1" t="s">
        <v>3</v>
      </c>
      <c r="E66" s="1">
        <v>8</v>
      </c>
      <c r="F66" s="1">
        <v>10130</v>
      </c>
      <c r="G66" s="4">
        <v>44991</v>
      </c>
      <c r="H66" s="1">
        <v>1060</v>
      </c>
      <c r="I66" s="6">
        <v>2026</v>
      </c>
    </row>
    <row r="67" spans="1:9" x14ac:dyDescent="0.25">
      <c r="A67" s="5" t="s">
        <v>15</v>
      </c>
      <c r="B67" s="1" t="s">
        <v>1</v>
      </c>
      <c r="C67" s="1" t="s">
        <v>2</v>
      </c>
      <c r="D67" s="1" t="s">
        <v>13</v>
      </c>
      <c r="E67" s="1">
        <v>3</v>
      </c>
      <c r="F67" s="1">
        <v>19023</v>
      </c>
      <c r="G67" s="4">
        <v>44992</v>
      </c>
      <c r="H67" s="1">
        <v>10130</v>
      </c>
      <c r="I67" s="6">
        <v>3804.6</v>
      </c>
    </row>
    <row r="68" spans="1:9" x14ac:dyDescent="0.25">
      <c r="A68" s="5" t="s">
        <v>4</v>
      </c>
      <c r="B68" s="1" t="s">
        <v>5</v>
      </c>
      <c r="C68" s="1" t="s">
        <v>12</v>
      </c>
      <c r="D68" s="1" t="s">
        <v>21</v>
      </c>
      <c r="E68" s="1">
        <v>7</v>
      </c>
      <c r="F68" s="1">
        <v>46080</v>
      </c>
      <c r="G68" s="4">
        <v>44993</v>
      </c>
      <c r="H68" s="1">
        <v>19023</v>
      </c>
      <c r="I68" s="6">
        <v>9216</v>
      </c>
    </row>
    <row r="69" spans="1:9" x14ac:dyDescent="0.25">
      <c r="A69" s="5" t="s">
        <v>8</v>
      </c>
      <c r="B69" s="1" t="s">
        <v>5</v>
      </c>
      <c r="C69" s="1" t="s">
        <v>2</v>
      </c>
      <c r="D69" s="1" t="s">
        <v>3</v>
      </c>
      <c r="E69" s="1">
        <v>3</v>
      </c>
      <c r="F69" s="1">
        <v>14350</v>
      </c>
      <c r="G69" s="4">
        <v>44994</v>
      </c>
      <c r="H69" s="1">
        <v>46080</v>
      </c>
      <c r="I69" s="6">
        <v>2870</v>
      </c>
    </row>
    <row r="70" spans="1:9" x14ac:dyDescent="0.25">
      <c r="A70" s="5" t="s">
        <v>0</v>
      </c>
      <c r="B70" s="1" t="s">
        <v>14</v>
      </c>
      <c r="C70" s="1" t="s">
        <v>2</v>
      </c>
      <c r="D70" s="1" t="s">
        <v>21</v>
      </c>
      <c r="E70" s="1">
        <v>6</v>
      </c>
      <c r="F70" s="1">
        <v>25354</v>
      </c>
      <c r="G70" s="4">
        <v>44995</v>
      </c>
      <c r="H70" s="1">
        <v>14350</v>
      </c>
      <c r="I70" s="6">
        <v>5070.8</v>
      </c>
    </row>
    <row r="71" spans="1:9" x14ac:dyDescent="0.25">
      <c r="A71" s="5" t="s">
        <v>25</v>
      </c>
      <c r="B71" s="1" t="s">
        <v>5</v>
      </c>
      <c r="C71" s="1" t="s">
        <v>6</v>
      </c>
      <c r="D71" s="1" t="s">
        <v>7</v>
      </c>
      <c r="E71" s="1">
        <v>6</v>
      </c>
      <c r="F71" s="1">
        <v>46186</v>
      </c>
      <c r="G71" s="4">
        <v>44996</v>
      </c>
      <c r="H71" s="1">
        <v>25354</v>
      </c>
      <c r="I71" s="6">
        <v>9237.2000000000007</v>
      </c>
    </row>
    <row r="72" spans="1:9" x14ac:dyDescent="0.25">
      <c r="A72" s="5" t="s">
        <v>8</v>
      </c>
      <c r="B72" s="1" t="s">
        <v>14</v>
      </c>
      <c r="C72" s="1" t="s">
        <v>2</v>
      </c>
      <c r="D72" s="1" t="s">
        <v>7</v>
      </c>
      <c r="E72" s="1">
        <v>3</v>
      </c>
      <c r="F72" s="1">
        <v>29145</v>
      </c>
      <c r="G72" s="4">
        <v>44997</v>
      </c>
      <c r="H72" s="1">
        <v>46186</v>
      </c>
      <c r="I72" s="6">
        <v>5829</v>
      </c>
    </row>
    <row r="73" spans="1:9" x14ac:dyDescent="0.25">
      <c r="A73" s="5" t="s">
        <v>11</v>
      </c>
      <c r="B73" s="1" t="s">
        <v>5</v>
      </c>
      <c r="C73" s="1" t="s">
        <v>9</v>
      </c>
      <c r="D73" s="1" t="s">
        <v>13</v>
      </c>
      <c r="E73" s="1">
        <v>7</v>
      </c>
      <c r="F73" s="1">
        <v>35020</v>
      </c>
      <c r="G73" s="4">
        <v>44998</v>
      </c>
      <c r="H73" s="1">
        <v>29145</v>
      </c>
      <c r="I73" s="6">
        <v>7004</v>
      </c>
    </row>
    <row r="74" spans="1:9" x14ac:dyDescent="0.25">
      <c r="A74" s="5" t="s">
        <v>22</v>
      </c>
      <c r="B74" s="1" t="s">
        <v>17</v>
      </c>
      <c r="C74" s="1" t="s">
        <v>12</v>
      </c>
      <c r="D74" s="1" t="s">
        <v>23</v>
      </c>
      <c r="E74" s="1">
        <v>3</v>
      </c>
      <c r="F74" s="1">
        <v>21587</v>
      </c>
      <c r="G74" s="4">
        <v>44999</v>
      </c>
      <c r="H74" s="1">
        <v>35020</v>
      </c>
      <c r="I74" s="6">
        <v>4317.3999999999996</v>
      </c>
    </row>
    <row r="75" spans="1:9" x14ac:dyDescent="0.25">
      <c r="A75" s="5" t="s">
        <v>11</v>
      </c>
      <c r="B75" s="1" t="s">
        <v>17</v>
      </c>
      <c r="C75" s="1" t="s">
        <v>6</v>
      </c>
      <c r="D75" s="1" t="s">
        <v>3</v>
      </c>
      <c r="E75" s="1">
        <v>8</v>
      </c>
      <c r="F75" s="1">
        <v>42131</v>
      </c>
      <c r="G75" s="4">
        <v>45000</v>
      </c>
      <c r="H75" s="1">
        <v>21587</v>
      </c>
      <c r="I75" s="6">
        <v>8426.2000000000007</v>
      </c>
    </row>
    <row r="76" spans="1:9" x14ac:dyDescent="0.25">
      <c r="A76" s="5" t="s">
        <v>8</v>
      </c>
      <c r="B76" s="1" t="s">
        <v>17</v>
      </c>
      <c r="C76" s="1" t="s">
        <v>6</v>
      </c>
      <c r="D76" s="1" t="s">
        <v>18</v>
      </c>
      <c r="E76" s="1">
        <v>4</v>
      </c>
      <c r="F76" s="1">
        <v>10650</v>
      </c>
      <c r="G76" s="4">
        <v>45001</v>
      </c>
      <c r="H76" s="1">
        <v>42131</v>
      </c>
      <c r="I76" s="6">
        <v>2130</v>
      </c>
    </row>
    <row r="77" spans="1:9" x14ac:dyDescent="0.25">
      <c r="A77" s="5" t="s">
        <v>15</v>
      </c>
      <c r="B77" s="1" t="s">
        <v>5</v>
      </c>
      <c r="C77" s="1" t="s">
        <v>9</v>
      </c>
      <c r="D77" s="1" t="s">
        <v>23</v>
      </c>
      <c r="E77" s="1">
        <v>1</v>
      </c>
      <c r="F77" s="1">
        <v>20933</v>
      </c>
      <c r="G77" s="4">
        <v>45002</v>
      </c>
      <c r="H77" s="1">
        <v>10650</v>
      </c>
      <c r="I77" s="6">
        <v>4186.6000000000004</v>
      </c>
    </row>
    <row r="78" spans="1:9" x14ac:dyDescent="0.25">
      <c r="A78" s="5" t="s">
        <v>25</v>
      </c>
      <c r="B78" s="1" t="s">
        <v>14</v>
      </c>
      <c r="C78" s="1" t="s">
        <v>12</v>
      </c>
      <c r="D78" s="1" t="s">
        <v>3</v>
      </c>
      <c r="E78" s="1">
        <v>4</v>
      </c>
      <c r="F78" s="1">
        <v>21581</v>
      </c>
      <c r="G78" s="4">
        <v>45003</v>
      </c>
      <c r="H78" s="1">
        <v>20933</v>
      </c>
      <c r="I78" s="6">
        <v>4316.2</v>
      </c>
    </row>
    <row r="79" spans="1:9" x14ac:dyDescent="0.25">
      <c r="A79" s="5" t="s">
        <v>25</v>
      </c>
      <c r="B79" s="1" t="s">
        <v>14</v>
      </c>
      <c r="C79" s="1" t="s">
        <v>12</v>
      </c>
      <c r="D79" s="1" t="s">
        <v>23</v>
      </c>
      <c r="E79" s="1">
        <v>7</v>
      </c>
      <c r="F79" s="1">
        <v>24393</v>
      </c>
      <c r="G79" s="4">
        <v>45004</v>
      </c>
      <c r="H79" s="1">
        <v>21581</v>
      </c>
      <c r="I79" s="6">
        <v>4878.6000000000004</v>
      </c>
    </row>
    <row r="80" spans="1:9" x14ac:dyDescent="0.25">
      <c r="A80" s="5" t="s">
        <v>24</v>
      </c>
      <c r="B80" s="1" t="s">
        <v>5</v>
      </c>
      <c r="C80" s="1" t="s">
        <v>6</v>
      </c>
      <c r="D80" s="1" t="s">
        <v>18</v>
      </c>
      <c r="E80" s="1">
        <v>4</v>
      </c>
      <c r="F80" s="1">
        <v>24051</v>
      </c>
      <c r="G80" s="4">
        <v>45005</v>
      </c>
      <c r="H80" s="1">
        <v>24393</v>
      </c>
      <c r="I80" s="6">
        <v>4810.2</v>
      </c>
    </row>
    <row r="81" spans="1:9" x14ac:dyDescent="0.25">
      <c r="A81" s="5" t="s">
        <v>25</v>
      </c>
      <c r="B81" s="1" t="s">
        <v>17</v>
      </c>
      <c r="C81" s="1" t="s">
        <v>2</v>
      </c>
      <c r="D81" s="1" t="s">
        <v>19</v>
      </c>
      <c r="E81" s="1">
        <v>6</v>
      </c>
      <c r="F81" s="1">
        <v>27212</v>
      </c>
      <c r="G81" s="4">
        <v>45006</v>
      </c>
      <c r="H81" s="1">
        <v>24051</v>
      </c>
      <c r="I81" s="6">
        <v>5442.4</v>
      </c>
    </row>
    <row r="82" spans="1:9" x14ac:dyDescent="0.25">
      <c r="A82" s="5" t="s">
        <v>0</v>
      </c>
      <c r="B82" s="1" t="s">
        <v>17</v>
      </c>
      <c r="C82" s="1" t="s">
        <v>6</v>
      </c>
      <c r="D82" s="1" t="s">
        <v>19</v>
      </c>
      <c r="E82" s="1">
        <v>9</v>
      </c>
      <c r="F82" s="1">
        <v>5090</v>
      </c>
      <c r="G82" s="4">
        <v>45007</v>
      </c>
      <c r="H82" s="1">
        <v>27212</v>
      </c>
      <c r="I82" s="6">
        <v>1018</v>
      </c>
    </row>
    <row r="83" spans="1:9" x14ac:dyDescent="0.25">
      <c r="A83" s="5" t="s">
        <v>25</v>
      </c>
      <c r="B83" s="1" t="s">
        <v>14</v>
      </c>
      <c r="C83" s="1" t="s">
        <v>12</v>
      </c>
      <c r="D83" s="1" t="s">
        <v>13</v>
      </c>
      <c r="E83" s="1">
        <v>1</v>
      </c>
      <c r="F83" s="1">
        <v>7960</v>
      </c>
      <c r="G83" s="4">
        <v>45008</v>
      </c>
      <c r="H83" s="1">
        <v>5090</v>
      </c>
      <c r="I83" s="6">
        <v>1592</v>
      </c>
    </row>
    <row r="84" spans="1:9" x14ac:dyDescent="0.25">
      <c r="A84" s="5" t="s">
        <v>8</v>
      </c>
      <c r="B84" s="1" t="s">
        <v>17</v>
      </c>
      <c r="C84" s="1" t="s">
        <v>9</v>
      </c>
      <c r="D84" s="1" t="s">
        <v>19</v>
      </c>
      <c r="E84" s="1">
        <v>5</v>
      </c>
      <c r="F84" s="1">
        <v>36772</v>
      </c>
      <c r="G84" s="4">
        <v>45009</v>
      </c>
      <c r="H84" s="1">
        <v>7960</v>
      </c>
      <c r="I84" s="6">
        <v>7354.4</v>
      </c>
    </row>
    <row r="85" spans="1:9" x14ac:dyDescent="0.25">
      <c r="A85" s="5" t="s">
        <v>24</v>
      </c>
      <c r="B85" s="1" t="s">
        <v>1</v>
      </c>
      <c r="C85" s="1" t="s">
        <v>6</v>
      </c>
      <c r="D85" s="1" t="s">
        <v>19</v>
      </c>
      <c r="E85" s="1">
        <v>7</v>
      </c>
      <c r="F85" s="1">
        <v>22520</v>
      </c>
      <c r="G85" s="4">
        <v>45010</v>
      </c>
      <c r="H85" s="1">
        <v>36772</v>
      </c>
      <c r="I85" s="6">
        <v>4504</v>
      </c>
    </row>
    <row r="86" spans="1:9" x14ac:dyDescent="0.25">
      <c r="A86" s="5" t="s">
        <v>8</v>
      </c>
      <c r="B86" s="1" t="s">
        <v>14</v>
      </c>
      <c r="C86" s="1" t="s">
        <v>12</v>
      </c>
      <c r="D86" s="1" t="s">
        <v>10</v>
      </c>
      <c r="E86" s="1">
        <v>1</v>
      </c>
      <c r="F86" s="1">
        <v>37408</v>
      </c>
      <c r="G86" s="4">
        <v>45011</v>
      </c>
      <c r="H86" s="1">
        <v>22520</v>
      </c>
      <c r="I86" s="6">
        <v>7481.6</v>
      </c>
    </row>
    <row r="87" spans="1:9" x14ac:dyDescent="0.25">
      <c r="A87" s="5" t="s">
        <v>8</v>
      </c>
      <c r="B87" s="1" t="s">
        <v>17</v>
      </c>
      <c r="C87" s="1" t="s">
        <v>6</v>
      </c>
      <c r="D87" s="1" t="s">
        <v>21</v>
      </c>
      <c r="E87" s="1">
        <v>4</v>
      </c>
      <c r="F87" s="1">
        <v>29470</v>
      </c>
      <c r="G87" s="4">
        <v>45012</v>
      </c>
      <c r="H87" s="1">
        <v>37408</v>
      </c>
      <c r="I87" s="6">
        <v>5894</v>
      </c>
    </row>
    <row r="88" spans="1:9" x14ac:dyDescent="0.25">
      <c r="A88" s="5" t="s">
        <v>16</v>
      </c>
      <c r="B88" s="1" t="s">
        <v>14</v>
      </c>
      <c r="C88" s="1" t="s">
        <v>2</v>
      </c>
      <c r="D88" s="1" t="s">
        <v>10</v>
      </c>
      <c r="E88" s="1">
        <v>6</v>
      </c>
      <c r="F88" s="1">
        <v>21491</v>
      </c>
      <c r="G88" s="4">
        <v>45013</v>
      </c>
      <c r="H88" s="1">
        <v>29470</v>
      </c>
      <c r="I88" s="6">
        <v>4298.2</v>
      </c>
    </row>
    <row r="89" spans="1:9" x14ac:dyDescent="0.25">
      <c r="A89" s="5" t="s">
        <v>24</v>
      </c>
      <c r="B89" s="1" t="s">
        <v>1</v>
      </c>
      <c r="C89" s="1" t="s">
        <v>6</v>
      </c>
      <c r="D89" s="1" t="s">
        <v>10</v>
      </c>
      <c r="E89" s="1">
        <v>2</v>
      </c>
      <c r="F89" s="1">
        <v>2341</v>
      </c>
      <c r="G89" s="4">
        <v>45014</v>
      </c>
      <c r="H89" s="1">
        <v>21491</v>
      </c>
      <c r="I89" s="6">
        <v>468.2</v>
      </c>
    </row>
    <row r="90" spans="1:9" x14ac:dyDescent="0.25">
      <c r="A90" s="5" t="s">
        <v>8</v>
      </c>
      <c r="B90" s="1" t="s">
        <v>14</v>
      </c>
      <c r="C90" s="1" t="s">
        <v>6</v>
      </c>
      <c r="D90" s="1" t="s">
        <v>13</v>
      </c>
      <c r="E90" s="1">
        <v>5</v>
      </c>
      <c r="F90" s="1">
        <v>45623</v>
      </c>
      <c r="G90" s="4">
        <v>45015</v>
      </c>
      <c r="H90" s="1">
        <v>2341</v>
      </c>
      <c r="I90" s="6">
        <v>9124.6</v>
      </c>
    </row>
    <row r="91" spans="1:9" x14ac:dyDescent="0.25">
      <c r="A91" s="5" t="s">
        <v>16</v>
      </c>
      <c r="B91" s="1" t="s">
        <v>14</v>
      </c>
      <c r="C91" s="1" t="s">
        <v>12</v>
      </c>
      <c r="D91" s="1" t="s">
        <v>10</v>
      </c>
      <c r="E91" s="1">
        <v>1</v>
      </c>
      <c r="F91" s="1">
        <v>25791</v>
      </c>
      <c r="G91" s="4">
        <v>45016</v>
      </c>
      <c r="H91" s="1">
        <v>45623</v>
      </c>
      <c r="I91" s="6">
        <v>5158.2</v>
      </c>
    </row>
    <row r="92" spans="1:9" x14ac:dyDescent="0.25">
      <c r="A92" s="5" t="s">
        <v>16</v>
      </c>
      <c r="B92" s="1" t="s">
        <v>14</v>
      </c>
      <c r="C92" s="1" t="s">
        <v>12</v>
      </c>
      <c r="D92" s="1" t="s">
        <v>19</v>
      </c>
      <c r="E92" s="1">
        <v>6</v>
      </c>
      <c r="F92" s="1">
        <v>1338</v>
      </c>
      <c r="G92" s="4">
        <v>45017</v>
      </c>
      <c r="H92" s="1">
        <v>25791</v>
      </c>
      <c r="I92" s="6">
        <v>267.60000000000002</v>
      </c>
    </row>
    <row r="93" spans="1:9" x14ac:dyDescent="0.25">
      <c r="A93" s="5" t="s">
        <v>24</v>
      </c>
      <c r="B93" s="1" t="s">
        <v>14</v>
      </c>
      <c r="C93" s="1" t="s">
        <v>12</v>
      </c>
      <c r="D93" s="1" t="s">
        <v>18</v>
      </c>
      <c r="E93" s="1">
        <v>6</v>
      </c>
      <c r="F93" s="1">
        <v>6895</v>
      </c>
      <c r="G93" s="4">
        <v>45018</v>
      </c>
      <c r="H93" s="1">
        <v>1338</v>
      </c>
      <c r="I93" s="6">
        <v>1379</v>
      </c>
    </row>
    <row r="94" spans="1:9" x14ac:dyDescent="0.25">
      <c r="A94" s="5" t="s">
        <v>11</v>
      </c>
      <c r="B94" s="1" t="s">
        <v>1</v>
      </c>
      <c r="C94" s="1" t="s">
        <v>6</v>
      </c>
      <c r="D94" s="1" t="s">
        <v>13</v>
      </c>
      <c r="E94" s="1">
        <v>4</v>
      </c>
      <c r="F94" s="1">
        <v>13254</v>
      </c>
      <c r="G94" s="4">
        <v>45019</v>
      </c>
      <c r="H94" s="1">
        <v>6895</v>
      </c>
      <c r="I94" s="6">
        <v>2650.8</v>
      </c>
    </row>
    <row r="95" spans="1:9" x14ac:dyDescent="0.25">
      <c r="A95" s="5" t="s">
        <v>15</v>
      </c>
      <c r="B95" s="1" t="s">
        <v>5</v>
      </c>
      <c r="C95" s="1" t="s">
        <v>2</v>
      </c>
      <c r="D95" s="1" t="s">
        <v>13</v>
      </c>
      <c r="E95" s="1">
        <v>8</v>
      </c>
      <c r="F95" s="1">
        <v>12344</v>
      </c>
      <c r="G95" s="4">
        <v>45020</v>
      </c>
      <c r="H95" s="1">
        <v>13254</v>
      </c>
      <c r="I95" s="6">
        <v>2468.8000000000002</v>
      </c>
    </row>
    <row r="96" spans="1:9" x14ac:dyDescent="0.25">
      <c r="A96" s="5" t="s">
        <v>0</v>
      </c>
      <c r="B96" s="1" t="s">
        <v>14</v>
      </c>
      <c r="C96" s="1" t="s">
        <v>9</v>
      </c>
      <c r="D96" s="1" t="s">
        <v>7</v>
      </c>
      <c r="E96" s="1">
        <v>4</v>
      </c>
      <c r="F96" s="1">
        <v>2750</v>
      </c>
      <c r="G96" s="4">
        <v>45021</v>
      </c>
      <c r="H96" s="1">
        <v>12344</v>
      </c>
      <c r="I96" s="6">
        <v>550</v>
      </c>
    </row>
    <row r="97" spans="1:9" x14ac:dyDescent="0.25">
      <c r="A97" s="5" t="s">
        <v>15</v>
      </c>
      <c r="B97" s="1" t="s">
        <v>14</v>
      </c>
      <c r="C97" s="1" t="s">
        <v>9</v>
      </c>
      <c r="D97" s="1" t="s">
        <v>13</v>
      </c>
      <c r="E97" s="1">
        <v>8</v>
      </c>
      <c r="F97" s="1">
        <v>3421</v>
      </c>
      <c r="G97" s="4">
        <v>45022</v>
      </c>
      <c r="H97" s="1">
        <v>2750</v>
      </c>
      <c r="I97" s="6">
        <v>684.2</v>
      </c>
    </row>
    <row r="98" spans="1:9" x14ac:dyDescent="0.25">
      <c r="A98" s="5" t="s">
        <v>25</v>
      </c>
      <c r="B98" s="1" t="s">
        <v>17</v>
      </c>
      <c r="C98" s="1" t="s">
        <v>12</v>
      </c>
      <c r="D98" s="1" t="s">
        <v>7</v>
      </c>
      <c r="E98" s="1">
        <v>8</v>
      </c>
      <c r="F98" s="1">
        <v>40887</v>
      </c>
      <c r="G98" s="4">
        <v>45023</v>
      </c>
      <c r="H98" s="1">
        <v>3421</v>
      </c>
      <c r="I98" s="6">
        <v>8177.4</v>
      </c>
    </row>
    <row r="99" spans="1:9" x14ac:dyDescent="0.25">
      <c r="A99" s="5" t="s">
        <v>0</v>
      </c>
      <c r="B99" s="1" t="s">
        <v>14</v>
      </c>
      <c r="C99" s="1" t="s">
        <v>12</v>
      </c>
      <c r="D99" s="1" t="s">
        <v>13</v>
      </c>
      <c r="E99" s="1">
        <v>5</v>
      </c>
      <c r="F99" s="1">
        <v>6319</v>
      </c>
      <c r="G99" s="4">
        <v>45024</v>
      </c>
      <c r="H99" s="1">
        <v>40887</v>
      </c>
      <c r="I99" s="6">
        <v>1263.8</v>
      </c>
    </row>
    <row r="100" spans="1:9" x14ac:dyDescent="0.25">
      <c r="A100" s="5" t="s">
        <v>25</v>
      </c>
      <c r="B100" s="1" t="s">
        <v>17</v>
      </c>
      <c r="C100" s="1" t="s">
        <v>6</v>
      </c>
      <c r="D100" s="1" t="s">
        <v>21</v>
      </c>
      <c r="E100" s="1">
        <v>4</v>
      </c>
      <c r="F100" s="1">
        <v>16896</v>
      </c>
      <c r="G100" s="4">
        <v>45025</v>
      </c>
      <c r="H100" s="1">
        <v>6319</v>
      </c>
      <c r="I100" s="6">
        <v>3379.2</v>
      </c>
    </row>
    <row r="101" spans="1:9" x14ac:dyDescent="0.25">
      <c r="A101" s="5" t="s">
        <v>8</v>
      </c>
      <c r="B101" s="1" t="s">
        <v>5</v>
      </c>
      <c r="C101" s="1" t="s">
        <v>9</v>
      </c>
      <c r="D101" s="1" t="s">
        <v>19</v>
      </c>
      <c r="E101" s="1">
        <v>2</v>
      </c>
      <c r="F101" s="1">
        <v>12918</v>
      </c>
      <c r="G101" s="4">
        <v>45026</v>
      </c>
      <c r="H101" s="1">
        <v>16896</v>
      </c>
      <c r="I101" s="6">
        <v>2583.6</v>
      </c>
    </row>
    <row r="102" spans="1:9" x14ac:dyDescent="0.25">
      <c r="A102" s="5" t="s">
        <v>22</v>
      </c>
      <c r="B102" s="1" t="s">
        <v>1</v>
      </c>
      <c r="C102" s="1" t="s">
        <v>12</v>
      </c>
      <c r="D102" s="1" t="s">
        <v>13</v>
      </c>
      <c r="E102" s="1">
        <v>3</v>
      </c>
      <c r="F102" s="1">
        <v>26064</v>
      </c>
      <c r="G102" s="4">
        <v>45027</v>
      </c>
      <c r="H102" s="1">
        <v>12918</v>
      </c>
      <c r="I102" s="6">
        <v>5212.8</v>
      </c>
    </row>
    <row r="103" spans="1:9" x14ac:dyDescent="0.25">
      <c r="A103" s="5" t="s">
        <v>24</v>
      </c>
      <c r="B103" s="1" t="s">
        <v>1</v>
      </c>
      <c r="C103" s="1" t="s">
        <v>2</v>
      </c>
      <c r="D103" s="1" t="s">
        <v>19</v>
      </c>
      <c r="E103" s="1">
        <v>3</v>
      </c>
      <c r="F103" s="1">
        <v>47617</v>
      </c>
      <c r="G103" s="4">
        <v>45028</v>
      </c>
      <c r="H103" s="1">
        <v>26064</v>
      </c>
      <c r="I103" s="6">
        <v>9523.4</v>
      </c>
    </row>
    <row r="104" spans="1:9" x14ac:dyDescent="0.25">
      <c r="A104" s="5" t="s">
        <v>0</v>
      </c>
      <c r="B104" s="1" t="s">
        <v>5</v>
      </c>
      <c r="C104" s="1" t="s">
        <v>2</v>
      </c>
      <c r="D104" s="1" t="s">
        <v>19</v>
      </c>
      <c r="E104" s="1">
        <v>4</v>
      </c>
      <c r="F104" s="1">
        <v>28935</v>
      </c>
      <c r="G104" s="4">
        <v>45029</v>
      </c>
      <c r="H104" s="1">
        <v>47617</v>
      </c>
      <c r="I104" s="6">
        <v>5787</v>
      </c>
    </row>
    <row r="105" spans="1:9" x14ac:dyDescent="0.25">
      <c r="A105" s="5" t="s">
        <v>0</v>
      </c>
      <c r="B105" s="1" t="s">
        <v>1</v>
      </c>
      <c r="C105" s="1" t="s">
        <v>12</v>
      </c>
      <c r="D105" s="1" t="s">
        <v>23</v>
      </c>
      <c r="E105" s="1">
        <v>4</v>
      </c>
      <c r="F105" s="1">
        <v>38641</v>
      </c>
      <c r="G105" s="4">
        <v>45030</v>
      </c>
      <c r="H105" s="1">
        <v>28935</v>
      </c>
      <c r="I105" s="6">
        <v>7728.2</v>
      </c>
    </row>
    <row r="106" spans="1:9" x14ac:dyDescent="0.25">
      <c r="A106" s="5" t="s">
        <v>8</v>
      </c>
      <c r="B106" s="1" t="s">
        <v>5</v>
      </c>
      <c r="C106" s="1" t="s">
        <v>12</v>
      </c>
      <c r="D106" s="1" t="s">
        <v>13</v>
      </c>
      <c r="E106" s="1">
        <v>5</v>
      </c>
      <c r="F106" s="1">
        <v>30711</v>
      </c>
      <c r="G106" s="4">
        <v>45031</v>
      </c>
      <c r="H106" s="1">
        <v>38641</v>
      </c>
      <c r="I106" s="6">
        <v>6142.2</v>
      </c>
    </row>
    <row r="107" spans="1:9" x14ac:dyDescent="0.25">
      <c r="A107" s="5" t="s">
        <v>11</v>
      </c>
      <c r="B107" s="1" t="s">
        <v>5</v>
      </c>
      <c r="C107" s="1" t="s">
        <v>9</v>
      </c>
      <c r="D107" s="1" t="s">
        <v>3</v>
      </c>
      <c r="E107" s="1">
        <v>4</v>
      </c>
      <c r="F107" s="1">
        <v>5806</v>
      </c>
      <c r="G107" s="4">
        <v>45032</v>
      </c>
      <c r="H107" s="1">
        <v>30711</v>
      </c>
      <c r="I107" s="6">
        <v>1161.2</v>
      </c>
    </row>
    <row r="108" spans="1:9" x14ac:dyDescent="0.25">
      <c r="A108" s="5" t="s">
        <v>16</v>
      </c>
      <c r="B108" s="1" t="s">
        <v>5</v>
      </c>
      <c r="C108" s="1" t="s">
        <v>9</v>
      </c>
      <c r="D108" s="1" t="s">
        <v>23</v>
      </c>
      <c r="E108" s="1">
        <v>8</v>
      </c>
      <c r="F108" s="1">
        <v>42360</v>
      </c>
      <c r="G108" s="4">
        <v>45033</v>
      </c>
      <c r="H108" s="1">
        <v>5806</v>
      </c>
      <c r="I108" s="6">
        <v>8472</v>
      </c>
    </row>
    <row r="109" spans="1:9" x14ac:dyDescent="0.25">
      <c r="A109" s="5" t="s">
        <v>8</v>
      </c>
      <c r="B109" s="1" t="s">
        <v>1</v>
      </c>
      <c r="C109" s="1" t="s">
        <v>6</v>
      </c>
      <c r="D109" s="1" t="s">
        <v>3</v>
      </c>
      <c r="E109" s="1">
        <v>6</v>
      </c>
      <c r="F109" s="1">
        <v>13182</v>
      </c>
      <c r="G109" s="4">
        <v>45034</v>
      </c>
      <c r="H109" s="1">
        <v>42360</v>
      </c>
      <c r="I109" s="6">
        <v>2636.4</v>
      </c>
    </row>
    <row r="110" spans="1:9" x14ac:dyDescent="0.25">
      <c r="A110" s="5" t="s">
        <v>20</v>
      </c>
      <c r="B110" s="1" t="s">
        <v>17</v>
      </c>
      <c r="C110" s="1" t="s">
        <v>9</v>
      </c>
      <c r="D110" s="1" t="s">
        <v>19</v>
      </c>
      <c r="E110" s="1">
        <v>6</v>
      </c>
      <c r="F110" s="1">
        <v>23297</v>
      </c>
      <c r="G110" s="4">
        <v>45035</v>
      </c>
      <c r="H110" s="1">
        <v>13182</v>
      </c>
      <c r="I110" s="6">
        <v>4659.3999999999996</v>
      </c>
    </row>
    <row r="111" spans="1:9" x14ac:dyDescent="0.25">
      <c r="A111" s="5" t="s">
        <v>16</v>
      </c>
      <c r="B111" s="1" t="s">
        <v>5</v>
      </c>
      <c r="C111" s="1" t="s">
        <v>2</v>
      </c>
      <c r="D111" s="1" t="s">
        <v>19</v>
      </c>
      <c r="E111" s="1">
        <v>8</v>
      </c>
      <c r="F111" s="1">
        <v>20541</v>
      </c>
      <c r="G111" s="4">
        <v>45036</v>
      </c>
      <c r="H111" s="1">
        <v>23297</v>
      </c>
      <c r="I111" s="6">
        <v>4108.2</v>
      </c>
    </row>
    <row r="112" spans="1:9" x14ac:dyDescent="0.25">
      <c r="A112" s="5" t="s">
        <v>24</v>
      </c>
      <c r="B112" s="1" t="s">
        <v>14</v>
      </c>
      <c r="C112" s="1" t="s">
        <v>2</v>
      </c>
      <c r="D112" s="1" t="s">
        <v>23</v>
      </c>
      <c r="E112" s="1">
        <v>7</v>
      </c>
      <c r="F112" s="1">
        <v>29921</v>
      </c>
      <c r="G112" s="4">
        <v>45037</v>
      </c>
      <c r="H112" s="1">
        <v>20541</v>
      </c>
      <c r="I112" s="6">
        <v>5984.2</v>
      </c>
    </row>
    <row r="113" spans="1:9" x14ac:dyDescent="0.25">
      <c r="A113" s="5" t="s">
        <v>16</v>
      </c>
      <c r="B113" s="1" t="s">
        <v>1</v>
      </c>
      <c r="C113" s="1" t="s">
        <v>12</v>
      </c>
      <c r="D113" s="1" t="s">
        <v>23</v>
      </c>
      <c r="E113" s="1">
        <v>8</v>
      </c>
      <c r="F113" s="1">
        <v>17774</v>
      </c>
      <c r="G113" s="4">
        <v>45038</v>
      </c>
      <c r="H113" s="1">
        <v>29921</v>
      </c>
      <c r="I113" s="6">
        <v>3554.8</v>
      </c>
    </row>
    <row r="114" spans="1:9" x14ac:dyDescent="0.25">
      <c r="A114" s="5" t="s">
        <v>11</v>
      </c>
      <c r="B114" s="1" t="s">
        <v>5</v>
      </c>
      <c r="C114" s="1" t="s">
        <v>9</v>
      </c>
      <c r="D114" s="1" t="s">
        <v>3</v>
      </c>
      <c r="E114" s="1">
        <v>2</v>
      </c>
      <c r="F114" s="1">
        <v>45813</v>
      </c>
      <c r="G114" s="4">
        <v>45039</v>
      </c>
      <c r="H114" s="1">
        <v>17774</v>
      </c>
      <c r="I114" s="6">
        <v>9162.6</v>
      </c>
    </row>
    <row r="115" spans="1:9" x14ac:dyDescent="0.25">
      <c r="A115" s="5" t="s">
        <v>16</v>
      </c>
      <c r="B115" s="1" t="s">
        <v>5</v>
      </c>
      <c r="C115" s="1" t="s">
        <v>6</v>
      </c>
      <c r="D115" s="1" t="s">
        <v>7</v>
      </c>
      <c r="E115" s="1">
        <v>9</v>
      </c>
      <c r="F115" s="1">
        <v>38198</v>
      </c>
      <c r="G115" s="4">
        <v>45040</v>
      </c>
      <c r="H115" s="1">
        <v>45813</v>
      </c>
      <c r="I115" s="6">
        <v>7639.6</v>
      </c>
    </row>
    <row r="116" spans="1:9" x14ac:dyDescent="0.25">
      <c r="A116" s="5" t="s">
        <v>24</v>
      </c>
      <c r="B116" s="1" t="s">
        <v>14</v>
      </c>
      <c r="C116" s="1" t="s">
        <v>2</v>
      </c>
      <c r="D116" s="1" t="s">
        <v>3</v>
      </c>
      <c r="E116" s="1">
        <v>1</v>
      </c>
      <c r="F116" s="1">
        <v>9820</v>
      </c>
      <c r="G116" s="4">
        <v>45041</v>
      </c>
      <c r="H116" s="1">
        <v>38198</v>
      </c>
      <c r="I116" s="6">
        <v>1964</v>
      </c>
    </row>
    <row r="117" spans="1:9" x14ac:dyDescent="0.25">
      <c r="A117" s="5" t="s">
        <v>11</v>
      </c>
      <c r="B117" s="1" t="s">
        <v>17</v>
      </c>
      <c r="C117" s="1" t="s">
        <v>2</v>
      </c>
      <c r="D117" s="1" t="s">
        <v>23</v>
      </c>
      <c r="E117" s="1">
        <v>8</v>
      </c>
      <c r="F117" s="1">
        <v>25070</v>
      </c>
      <c r="G117" s="4">
        <v>45042</v>
      </c>
      <c r="H117" s="1">
        <v>9820</v>
      </c>
      <c r="I117" s="6">
        <v>5014</v>
      </c>
    </row>
    <row r="118" spans="1:9" x14ac:dyDescent="0.25">
      <c r="A118" s="5" t="s">
        <v>15</v>
      </c>
      <c r="B118" s="1" t="s">
        <v>17</v>
      </c>
      <c r="C118" s="1" t="s">
        <v>6</v>
      </c>
      <c r="D118" s="1" t="s">
        <v>18</v>
      </c>
      <c r="E118" s="1">
        <v>4</v>
      </c>
      <c r="F118" s="1">
        <v>5232</v>
      </c>
      <c r="G118" s="4">
        <v>45043</v>
      </c>
      <c r="H118" s="1">
        <v>25070</v>
      </c>
      <c r="I118" s="6">
        <v>1046.4000000000001</v>
      </c>
    </row>
    <row r="119" spans="1:9" x14ac:dyDescent="0.25">
      <c r="A119" s="5" t="s">
        <v>0</v>
      </c>
      <c r="B119" s="1" t="s">
        <v>17</v>
      </c>
      <c r="C119" s="1" t="s">
        <v>6</v>
      </c>
      <c r="D119" s="1" t="s">
        <v>23</v>
      </c>
      <c r="E119" s="1">
        <v>4</v>
      </c>
      <c r="F119" s="1">
        <v>12122</v>
      </c>
      <c r="G119" s="4">
        <v>45044</v>
      </c>
      <c r="H119" s="1">
        <v>5232</v>
      </c>
      <c r="I119" s="6">
        <v>2424.4</v>
      </c>
    </row>
    <row r="120" spans="1:9" x14ac:dyDescent="0.25">
      <c r="A120" s="5" t="s">
        <v>0</v>
      </c>
      <c r="B120" s="1" t="s">
        <v>5</v>
      </c>
      <c r="C120" s="1" t="s">
        <v>2</v>
      </c>
      <c r="D120" s="1" t="s">
        <v>18</v>
      </c>
      <c r="E120" s="1">
        <v>5</v>
      </c>
      <c r="F120" s="1">
        <v>16023</v>
      </c>
      <c r="G120" s="4">
        <v>45045</v>
      </c>
      <c r="H120" s="1">
        <v>12122</v>
      </c>
      <c r="I120" s="6">
        <v>3204.6</v>
      </c>
    </row>
    <row r="121" spans="1:9" x14ac:dyDescent="0.25">
      <c r="A121" s="5" t="s">
        <v>25</v>
      </c>
      <c r="B121" s="1" t="s">
        <v>5</v>
      </c>
      <c r="C121" s="1" t="s">
        <v>2</v>
      </c>
      <c r="D121" s="1" t="s">
        <v>21</v>
      </c>
      <c r="E121" s="1">
        <v>8</v>
      </c>
      <c r="F121" s="1">
        <v>9007</v>
      </c>
      <c r="G121" s="4">
        <v>45046</v>
      </c>
      <c r="H121" s="1">
        <v>16023</v>
      </c>
      <c r="I121" s="6">
        <v>1801.4</v>
      </c>
    </row>
    <row r="122" spans="1:9" x14ac:dyDescent="0.25">
      <c r="A122" s="5" t="s">
        <v>15</v>
      </c>
      <c r="B122" s="1" t="s">
        <v>5</v>
      </c>
      <c r="C122" s="1" t="s">
        <v>6</v>
      </c>
      <c r="D122" s="1" t="s">
        <v>23</v>
      </c>
      <c r="E122" s="1">
        <v>5</v>
      </c>
      <c r="F122" s="1">
        <v>18905</v>
      </c>
      <c r="G122" s="4">
        <v>45047</v>
      </c>
      <c r="H122" s="1">
        <v>9007</v>
      </c>
      <c r="I122" s="6">
        <v>3781</v>
      </c>
    </row>
    <row r="123" spans="1:9" x14ac:dyDescent="0.25">
      <c r="A123" s="5" t="s">
        <v>15</v>
      </c>
      <c r="B123" s="1" t="s">
        <v>1</v>
      </c>
      <c r="C123" s="1" t="s">
        <v>2</v>
      </c>
      <c r="D123" s="1" t="s">
        <v>21</v>
      </c>
      <c r="E123" s="1">
        <v>8</v>
      </c>
      <c r="F123" s="1">
        <v>42786</v>
      </c>
      <c r="G123" s="4">
        <v>45048</v>
      </c>
      <c r="H123" s="1">
        <v>18905</v>
      </c>
      <c r="I123" s="6">
        <v>8557.2000000000007</v>
      </c>
    </row>
    <row r="124" spans="1:9" x14ac:dyDescent="0.25">
      <c r="A124" s="5" t="s">
        <v>16</v>
      </c>
      <c r="B124" s="1" t="s">
        <v>14</v>
      </c>
      <c r="C124" s="1" t="s">
        <v>12</v>
      </c>
      <c r="D124" s="1" t="s">
        <v>7</v>
      </c>
      <c r="E124" s="1">
        <v>1</v>
      </c>
      <c r="F124" s="1">
        <v>30398</v>
      </c>
      <c r="G124" s="4">
        <v>45049</v>
      </c>
      <c r="H124" s="1">
        <v>42786</v>
      </c>
      <c r="I124" s="6">
        <v>6079.6</v>
      </c>
    </row>
    <row r="125" spans="1:9" x14ac:dyDescent="0.25">
      <c r="A125" s="5" t="s">
        <v>0</v>
      </c>
      <c r="B125" s="1" t="s">
        <v>5</v>
      </c>
      <c r="C125" s="1" t="s">
        <v>12</v>
      </c>
      <c r="D125" s="1" t="s">
        <v>3</v>
      </c>
      <c r="E125" s="1">
        <v>9</v>
      </c>
      <c r="F125" s="1">
        <v>35268</v>
      </c>
      <c r="G125" s="4">
        <v>45050</v>
      </c>
      <c r="H125" s="1">
        <v>30398</v>
      </c>
      <c r="I125" s="6">
        <v>7053.6</v>
      </c>
    </row>
    <row r="126" spans="1:9" x14ac:dyDescent="0.25">
      <c r="A126" s="5" t="s">
        <v>24</v>
      </c>
      <c r="B126" s="1" t="s">
        <v>14</v>
      </c>
      <c r="C126" s="1" t="s">
        <v>6</v>
      </c>
      <c r="D126" s="1" t="s">
        <v>18</v>
      </c>
      <c r="E126" s="1">
        <v>6</v>
      </c>
      <c r="F126" s="1">
        <v>7737</v>
      </c>
      <c r="G126" s="4">
        <v>45051</v>
      </c>
      <c r="H126" s="1">
        <v>35268</v>
      </c>
      <c r="I126" s="6">
        <v>1547.4</v>
      </c>
    </row>
    <row r="127" spans="1:9" x14ac:dyDescent="0.25">
      <c r="A127" s="5" t="s">
        <v>4</v>
      </c>
      <c r="B127" s="1" t="s">
        <v>14</v>
      </c>
      <c r="C127" s="1" t="s">
        <v>9</v>
      </c>
      <c r="D127" s="1" t="s">
        <v>3</v>
      </c>
      <c r="E127" s="1">
        <v>3</v>
      </c>
      <c r="F127" s="1">
        <v>37062</v>
      </c>
      <c r="G127" s="4">
        <v>45052</v>
      </c>
      <c r="H127" s="1">
        <v>7737</v>
      </c>
      <c r="I127" s="6">
        <v>7412.4</v>
      </c>
    </row>
    <row r="128" spans="1:9" x14ac:dyDescent="0.25">
      <c r="A128" s="5" t="s">
        <v>4</v>
      </c>
      <c r="B128" s="1" t="s">
        <v>17</v>
      </c>
      <c r="C128" s="1" t="s">
        <v>6</v>
      </c>
      <c r="D128" s="1" t="s">
        <v>21</v>
      </c>
      <c r="E128" s="1">
        <v>8</v>
      </c>
      <c r="F128" s="1">
        <v>26510</v>
      </c>
      <c r="G128" s="4">
        <v>45053</v>
      </c>
      <c r="H128" s="1">
        <v>37062</v>
      </c>
      <c r="I128" s="6">
        <v>5302</v>
      </c>
    </row>
    <row r="129" spans="1:9" x14ac:dyDescent="0.25">
      <c r="A129" s="5" t="s">
        <v>11</v>
      </c>
      <c r="B129" s="1" t="s">
        <v>1</v>
      </c>
      <c r="C129" s="1" t="s">
        <v>6</v>
      </c>
      <c r="D129" s="1" t="s">
        <v>18</v>
      </c>
      <c r="E129" s="1">
        <v>9</v>
      </c>
      <c r="F129" s="1">
        <v>20426</v>
      </c>
      <c r="G129" s="4">
        <v>45054</v>
      </c>
      <c r="H129" s="1">
        <v>26510</v>
      </c>
      <c r="I129" s="6">
        <v>4085.2</v>
      </c>
    </row>
    <row r="130" spans="1:9" x14ac:dyDescent="0.25">
      <c r="A130" s="5" t="s">
        <v>0</v>
      </c>
      <c r="B130" s="1" t="s">
        <v>5</v>
      </c>
      <c r="C130" s="1" t="s">
        <v>9</v>
      </c>
      <c r="D130" s="1" t="s">
        <v>3</v>
      </c>
      <c r="E130" s="1">
        <v>6</v>
      </c>
      <c r="F130" s="1">
        <v>38265</v>
      </c>
      <c r="G130" s="4">
        <v>45055</v>
      </c>
      <c r="H130" s="1">
        <v>20426</v>
      </c>
      <c r="I130" s="6">
        <v>7653</v>
      </c>
    </row>
    <row r="131" spans="1:9" x14ac:dyDescent="0.25">
      <c r="A131" s="5" t="s">
        <v>0</v>
      </c>
      <c r="B131" s="1" t="s">
        <v>17</v>
      </c>
      <c r="C131" s="1" t="s">
        <v>9</v>
      </c>
      <c r="D131" s="1" t="s">
        <v>23</v>
      </c>
      <c r="E131" s="1">
        <v>7</v>
      </c>
      <c r="F131" s="1">
        <v>18850</v>
      </c>
      <c r="G131" s="4">
        <v>45056</v>
      </c>
      <c r="H131" s="1">
        <v>38265</v>
      </c>
      <c r="I131" s="6">
        <v>3770</v>
      </c>
    </row>
    <row r="132" spans="1:9" x14ac:dyDescent="0.25">
      <c r="A132" s="5" t="s">
        <v>4</v>
      </c>
      <c r="B132" s="1" t="s">
        <v>17</v>
      </c>
      <c r="C132" s="1" t="s">
        <v>9</v>
      </c>
      <c r="D132" s="1" t="s">
        <v>19</v>
      </c>
      <c r="E132" s="1">
        <v>1</v>
      </c>
      <c r="F132" s="1">
        <v>1614</v>
      </c>
      <c r="G132" s="4">
        <v>45057</v>
      </c>
      <c r="H132" s="1">
        <v>18850</v>
      </c>
      <c r="I132" s="6">
        <v>322.8</v>
      </c>
    </row>
    <row r="133" spans="1:9" x14ac:dyDescent="0.25">
      <c r="A133" s="5" t="s">
        <v>0</v>
      </c>
      <c r="B133" s="1" t="s">
        <v>5</v>
      </c>
      <c r="C133" s="1" t="s">
        <v>12</v>
      </c>
      <c r="D133" s="1" t="s">
        <v>21</v>
      </c>
      <c r="E133" s="1">
        <v>5</v>
      </c>
      <c r="F133" s="1">
        <v>22776</v>
      </c>
      <c r="G133" s="4">
        <v>45058</v>
      </c>
      <c r="H133" s="1">
        <v>1614</v>
      </c>
      <c r="I133" s="6">
        <v>4555.2</v>
      </c>
    </row>
    <row r="134" spans="1:9" x14ac:dyDescent="0.25">
      <c r="A134" s="5" t="s">
        <v>16</v>
      </c>
      <c r="B134" s="1" t="s">
        <v>14</v>
      </c>
      <c r="C134" s="1" t="s">
        <v>2</v>
      </c>
      <c r="D134" s="1" t="s">
        <v>3</v>
      </c>
      <c r="E134" s="1">
        <v>5</v>
      </c>
      <c r="F134" s="1">
        <v>25077</v>
      </c>
      <c r="G134" s="4">
        <v>45059</v>
      </c>
      <c r="H134" s="1">
        <v>22776</v>
      </c>
      <c r="I134" s="6">
        <v>5015.3999999999996</v>
      </c>
    </row>
    <row r="135" spans="1:9" x14ac:dyDescent="0.25">
      <c r="A135" s="5" t="s">
        <v>20</v>
      </c>
      <c r="B135" s="1" t="s">
        <v>17</v>
      </c>
      <c r="C135" s="1" t="s">
        <v>12</v>
      </c>
      <c r="D135" s="1" t="s">
        <v>21</v>
      </c>
      <c r="E135" s="1">
        <v>4</v>
      </c>
      <c r="F135" s="1">
        <v>10374</v>
      </c>
      <c r="G135" s="4">
        <v>45060</v>
      </c>
      <c r="H135" s="1">
        <v>25077</v>
      </c>
      <c r="I135" s="6">
        <v>2074.8000000000002</v>
      </c>
    </row>
    <row r="136" spans="1:9" x14ac:dyDescent="0.25">
      <c r="A136" s="5" t="s">
        <v>22</v>
      </c>
      <c r="B136" s="1" t="s">
        <v>14</v>
      </c>
      <c r="C136" s="1" t="s">
        <v>2</v>
      </c>
      <c r="D136" s="1" t="s">
        <v>10</v>
      </c>
      <c r="E136" s="1">
        <v>6</v>
      </c>
      <c r="F136" s="1">
        <v>36435</v>
      </c>
      <c r="G136" s="4">
        <v>45061</v>
      </c>
      <c r="H136" s="1">
        <v>10374</v>
      </c>
      <c r="I136" s="6">
        <v>7287</v>
      </c>
    </row>
    <row r="137" spans="1:9" x14ac:dyDescent="0.25">
      <c r="A137" s="5" t="s">
        <v>15</v>
      </c>
      <c r="B137" s="1" t="s">
        <v>1</v>
      </c>
      <c r="C137" s="1" t="s">
        <v>12</v>
      </c>
      <c r="D137" s="1" t="s">
        <v>21</v>
      </c>
      <c r="E137" s="1">
        <v>7</v>
      </c>
      <c r="F137" s="1">
        <v>31907</v>
      </c>
      <c r="G137" s="4">
        <v>45062</v>
      </c>
      <c r="H137" s="1">
        <v>36435</v>
      </c>
      <c r="I137" s="6">
        <v>6381.4</v>
      </c>
    </row>
    <row r="138" spans="1:9" x14ac:dyDescent="0.25">
      <c r="A138" s="5" t="s">
        <v>25</v>
      </c>
      <c r="B138" s="1" t="s">
        <v>14</v>
      </c>
      <c r="C138" s="1" t="s">
        <v>2</v>
      </c>
      <c r="D138" s="1" t="s">
        <v>18</v>
      </c>
      <c r="E138" s="1">
        <v>9</v>
      </c>
      <c r="F138" s="1">
        <v>14409</v>
      </c>
      <c r="G138" s="4">
        <v>45063</v>
      </c>
      <c r="H138" s="1">
        <v>31907</v>
      </c>
      <c r="I138" s="6">
        <v>2881.8</v>
      </c>
    </row>
    <row r="139" spans="1:9" x14ac:dyDescent="0.25">
      <c r="A139" s="5" t="s">
        <v>11</v>
      </c>
      <c r="B139" s="1" t="s">
        <v>1</v>
      </c>
      <c r="C139" s="1" t="s">
        <v>12</v>
      </c>
      <c r="D139" s="1" t="s">
        <v>10</v>
      </c>
      <c r="E139" s="1">
        <v>1</v>
      </c>
      <c r="F139" s="1">
        <v>17514</v>
      </c>
      <c r="G139" s="4">
        <v>45064</v>
      </c>
      <c r="H139" s="1">
        <v>14409</v>
      </c>
      <c r="I139" s="6">
        <v>3502.8</v>
      </c>
    </row>
    <row r="140" spans="1:9" x14ac:dyDescent="0.25">
      <c r="A140" s="5" t="s">
        <v>20</v>
      </c>
      <c r="B140" s="1" t="s">
        <v>14</v>
      </c>
      <c r="C140" s="1" t="s">
        <v>9</v>
      </c>
      <c r="D140" s="1" t="s">
        <v>13</v>
      </c>
      <c r="E140" s="1">
        <v>6</v>
      </c>
      <c r="F140" s="1">
        <v>30866</v>
      </c>
      <c r="G140" s="4">
        <v>45065</v>
      </c>
      <c r="H140" s="1">
        <v>17514</v>
      </c>
      <c r="I140" s="6">
        <v>6173.2</v>
      </c>
    </row>
    <row r="141" spans="1:9" x14ac:dyDescent="0.25">
      <c r="A141" s="5" t="s">
        <v>4</v>
      </c>
      <c r="B141" s="1" t="s">
        <v>17</v>
      </c>
      <c r="C141" s="1" t="s">
        <v>6</v>
      </c>
      <c r="D141" s="1" t="s">
        <v>18</v>
      </c>
      <c r="E141" s="1">
        <v>7</v>
      </c>
      <c r="F141" s="1">
        <v>3983</v>
      </c>
      <c r="G141" s="4">
        <v>45066</v>
      </c>
      <c r="H141" s="1">
        <v>30866</v>
      </c>
      <c r="I141" s="6">
        <v>796.6</v>
      </c>
    </row>
    <row r="142" spans="1:9" x14ac:dyDescent="0.25">
      <c r="A142" s="5" t="s">
        <v>15</v>
      </c>
      <c r="B142" s="1" t="s">
        <v>17</v>
      </c>
      <c r="C142" s="1" t="s">
        <v>12</v>
      </c>
      <c r="D142" s="1" t="s">
        <v>19</v>
      </c>
      <c r="E142" s="1">
        <v>3</v>
      </c>
      <c r="F142" s="1">
        <v>32705</v>
      </c>
      <c r="G142" s="4">
        <v>45067</v>
      </c>
      <c r="H142" s="1">
        <v>3983</v>
      </c>
      <c r="I142" s="6">
        <v>6541</v>
      </c>
    </row>
    <row r="143" spans="1:9" x14ac:dyDescent="0.25">
      <c r="A143" s="5" t="s">
        <v>0</v>
      </c>
      <c r="B143" s="1" t="s">
        <v>1</v>
      </c>
      <c r="C143" s="1" t="s">
        <v>2</v>
      </c>
      <c r="D143" s="1" t="s">
        <v>10</v>
      </c>
      <c r="E143" s="1">
        <v>8</v>
      </c>
      <c r="F143" s="1">
        <v>21662</v>
      </c>
      <c r="G143" s="4">
        <v>45068</v>
      </c>
      <c r="H143" s="1">
        <v>32705</v>
      </c>
      <c r="I143" s="6">
        <v>4332.3999999999996</v>
      </c>
    </row>
    <row r="144" spans="1:9" x14ac:dyDescent="0.25">
      <c r="A144" s="5" t="s">
        <v>25</v>
      </c>
      <c r="B144" s="1" t="s">
        <v>5</v>
      </c>
      <c r="C144" s="1" t="s">
        <v>9</v>
      </c>
      <c r="D144" s="1" t="s">
        <v>13</v>
      </c>
      <c r="E144" s="1">
        <v>5</v>
      </c>
      <c r="F144" s="1">
        <v>24510</v>
      </c>
      <c r="G144" s="4">
        <v>45069</v>
      </c>
      <c r="H144" s="1">
        <v>21662</v>
      </c>
      <c r="I144" s="6">
        <v>4902</v>
      </c>
    </row>
    <row r="145" spans="1:9" x14ac:dyDescent="0.25">
      <c r="A145" s="5" t="s">
        <v>0</v>
      </c>
      <c r="B145" s="1" t="s">
        <v>1</v>
      </c>
      <c r="C145" s="1" t="s">
        <v>12</v>
      </c>
      <c r="D145" s="1" t="s">
        <v>23</v>
      </c>
      <c r="E145" s="1">
        <v>9</v>
      </c>
      <c r="F145" s="1">
        <v>13651</v>
      </c>
      <c r="G145" s="4">
        <v>45070</v>
      </c>
      <c r="H145" s="1">
        <v>24510</v>
      </c>
      <c r="I145" s="6">
        <v>2730.2</v>
      </c>
    </row>
    <row r="146" spans="1:9" x14ac:dyDescent="0.25">
      <c r="A146" s="5" t="s">
        <v>24</v>
      </c>
      <c r="B146" s="1" t="s">
        <v>1</v>
      </c>
      <c r="C146" s="1" t="s">
        <v>12</v>
      </c>
      <c r="D146" s="1" t="s">
        <v>21</v>
      </c>
      <c r="E146" s="1">
        <v>5</v>
      </c>
      <c r="F146" s="1">
        <v>41998</v>
      </c>
      <c r="G146" s="4">
        <v>45071</v>
      </c>
      <c r="H146" s="1">
        <v>13651</v>
      </c>
      <c r="I146" s="6">
        <v>8399.6</v>
      </c>
    </row>
    <row r="147" spans="1:9" x14ac:dyDescent="0.25">
      <c r="A147" s="5" t="s">
        <v>24</v>
      </c>
      <c r="B147" s="1" t="s">
        <v>14</v>
      </c>
      <c r="C147" s="1" t="s">
        <v>9</v>
      </c>
      <c r="D147" s="1" t="s">
        <v>3</v>
      </c>
      <c r="E147" s="1">
        <v>9</v>
      </c>
      <c r="F147" s="1">
        <v>29535</v>
      </c>
      <c r="G147" s="4">
        <v>45072</v>
      </c>
      <c r="H147" s="1">
        <v>41998</v>
      </c>
      <c r="I147" s="6">
        <v>5907</v>
      </c>
    </row>
    <row r="148" spans="1:9" x14ac:dyDescent="0.25">
      <c r="A148" s="5" t="s">
        <v>25</v>
      </c>
      <c r="B148" s="1" t="s">
        <v>14</v>
      </c>
      <c r="C148" s="1" t="s">
        <v>12</v>
      </c>
      <c r="D148" s="1" t="s">
        <v>7</v>
      </c>
      <c r="E148" s="1">
        <v>4</v>
      </c>
      <c r="F148" s="1">
        <v>7640</v>
      </c>
      <c r="G148" s="4">
        <v>45073</v>
      </c>
      <c r="H148" s="1">
        <v>29535</v>
      </c>
      <c r="I148" s="6">
        <v>1528</v>
      </c>
    </row>
    <row r="149" spans="1:9" x14ac:dyDescent="0.25">
      <c r="A149" s="5" t="s">
        <v>25</v>
      </c>
      <c r="B149" s="1" t="s">
        <v>1</v>
      </c>
      <c r="C149" s="1" t="s">
        <v>6</v>
      </c>
      <c r="D149" s="1" t="s">
        <v>21</v>
      </c>
      <c r="E149" s="1">
        <v>9</v>
      </c>
      <c r="F149" s="1">
        <v>45547</v>
      </c>
      <c r="G149" s="4">
        <v>45074</v>
      </c>
      <c r="H149" s="1">
        <v>7640</v>
      </c>
      <c r="I149" s="6">
        <v>9109.4</v>
      </c>
    </row>
    <row r="150" spans="1:9" x14ac:dyDescent="0.25">
      <c r="A150" s="5" t="s">
        <v>4</v>
      </c>
      <c r="B150" s="1" t="s">
        <v>17</v>
      </c>
      <c r="C150" s="1" t="s">
        <v>12</v>
      </c>
      <c r="D150" s="1" t="s">
        <v>13</v>
      </c>
      <c r="E150" s="1">
        <v>5</v>
      </c>
      <c r="F150" s="1">
        <v>16317</v>
      </c>
      <c r="G150" s="4">
        <v>45075</v>
      </c>
      <c r="H150" s="1">
        <v>45547</v>
      </c>
      <c r="I150" s="6">
        <v>3263.4</v>
      </c>
    </row>
    <row r="151" spans="1:9" x14ac:dyDescent="0.25">
      <c r="A151" s="5" t="s">
        <v>25</v>
      </c>
      <c r="B151" s="1" t="s">
        <v>14</v>
      </c>
      <c r="C151" s="1" t="s">
        <v>6</v>
      </c>
      <c r="D151" s="1" t="s">
        <v>21</v>
      </c>
      <c r="E151" s="1">
        <v>9</v>
      </c>
      <c r="F151" s="1">
        <v>8564</v>
      </c>
      <c r="G151" s="4">
        <v>45076</v>
      </c>
      <c r="H151" s="1">
        <v>16317</v>
      </c>
      <c r="I151" s="6">
        <v>1712.8</v>
      </c>
    </row>
    <row r="152" spans="1:9" x14ac:dyDescent="0.25">
      <c r="A152" s="5" t="s">
        <v>16</v>
      </c>
      <c r="B152" s="1" t="s">
        <v>5</v>
      </c>
      <c r="C152" s="1" t="s">
        <v>6</v>
      </c>
      <c r="D152" s="1" t="s">
        <v>19</v>
      </c>
      <c r="E152" s="1">
        <v>3</v>
      </c>
      <c r="F152" s="1">
        <v>28345</v>
      </c>
      <c r="G152" s="4">
        <v>45077</v>
      </c>
      <c r="H152" s="1">
        <v>8564</v>
      </c>
      <c r="I152" s="6">
        <v>5669</v>
      </c>
    </row>
    <row r="153" spans="1:9" x14ac:dyDescent="0.25">
      <c r="A153" s="5" t="s">
        <v>0</v>
      </c>
      <c r="B153" s="1" t="s">
        <v>14</v>
      </c>
      <c r="C153" s="1" t="s">
        <v>9</v>
      </c>
      <c r="D153" s="1" t="s">
        <v>23</v>
      </c>
      <c r="E153" s="1">
        <v>4</v>
      </c>
      <c r="F153" s="1">
        <v>49288</v>
      </c>
      <c r="G153" s="4">
        <v>45078</v>
      </c>
      <c r="H153" s="1">
        <v>28345</v>
      </c>
      <c r="I153" s="6">
        <v>9857.6</v>
      </c>
    </row>
    <row r="154" spans="1:9" x14ac:dyDescent="0.25">
      <c r="A154" s="5" t="s">
        <v>20</v>
      </c>
      <c r="B154" s="1" t="s">
        <v>14</v>
      </c>
      <c r="C154" s="1" t="s">
        <v>12</v>
      </c>
      <c r="D154" s="1" t="s">
        <v>7</v>
      </c>
      <c r="E154" s="1">
        <v>9</v>
      </c>
      <c r="F154" s="1">
        <v>29687</v>
      </c>
      <c r="G154" s="4">
        <v>45079</v>
      </c>
      <c r="H154" s="1">
        <v>49288</v>
      </c>
      <c r="I154" s="6">
        <v>5937.4</v>
      </c>
    </row>
    <row r="155" spans="1:9" x14ac:dyDescent="0.25">
      <c r="A155" s="5" t="s">
        <v>8</v>
      </c>
      <c r="B155" s="1" t="s">
        <v>5</v>
      </c>
      <c r="C155" s="1" t="s">
        <v>9</v>
      </c>
      <c r="D155" s="1" t="s">
        <v>10</v>
      </c>
      <c r="E155" s="1">
        <v>6</v>
      </c>
      <c r="F155" s="1">
        <v>14737</v>
      </c>
      <c r="G155" s="4">
        <v>45080</v>
      </c>
      <c r="H155" s="1">
        <v>29687</v>
      </c>
      <c r="I155" s="6">
        <v>2947.4</v>
      </c>
    </row>
    <row r="156" spans="1:9" x14ac:dyDescent="0.25">
      <c r="A156" s="5" t="s">
        <v>25</v>
      </c>
      <c r="B156" s="1" t="s">
        <v>1</v>
      </c>
      <c r="C156" s="1" t="s">
        <v>12</v>
      </c>
      <c r="D156" s="1" t="s">
        <v>10</v>
      </c>
      <c r="E156" s="1">
        <v>2</v>
      </c>
      <c r="F156" s="1">
        <v>10323</v>
      </c>
      <c r="G156" s="4">
        <v>45081</v>
      </c>
      <c r="H156" s="1">
        <v>14737</v>
      </c>
      <c r="I156" s="6">
        <v>2064.6</v>
      </c>
    </row>
    <row r="157" spans="1:9" x14ac:dyDescent="0.25">
      <c r="A157" s="5" t="s">
        <v>11</v>
      </c>
      <c r="B157" s="1" t="s">
        <v>5</v>
      </c>
      <c r="C157" s="1" t="s">
        <v>12</v>
      </c>
      <c r="D157" s="1" t="s">
        <v>10</v>
      </c>
      <c r="E157" s="1">
        <v>7</v>
      </c>
      <c r="F157" s="1">
        <v>16229</v>
      </c>
      <c r="G157" s="4">
        <v>45082</v>
      </c>
      <c r="H157" s="1">
        <v>10323</v>
      </c>
      <c r="I157" s="6">
        <v>3245.8</v>
      </c>
    </row>
    <row r="158" spans="1:9" x14ac:dyDescent="0.25">
      <c r="A158" s="5" t="s">
        <v>24</v>
      </c>
      <c r="B158" s="1" t="s">
        <v>1</v>
      </c>
      <c r="C158" s="1" t="s">
        <v>2</v>
      </c>
      <c r="D158" s="1" t="s">
        <v>13</v>
      </c>
      <c r="E158" s="1">
        <v>2</v>
      </c>
      <c r="F158" s="1">
        <v>45481</v>
      </c>
      <c r="G158" s="4">
        <v>45083</v>
      </c>
      <c r="H158" s="1">
        <v>16229</v>
      </c>
      <c r="I158" s="6">
        <v>9096.2000000000007</v>
      </c>
    </row>
    <row r="159" spans="1:9" x14ac:dyDescent="0.25">
      <c r="A159" s="5" t="s">
        <v>16</v>
      </c>
      <c r="B159" s="1" t="s">
        <v>1</v>
      </c>
      <c r="C159" s="1" t="s">
        <v>12</v>
      </c>
      <c r="D159" s="1" t="s">
        <v>18</v>
      </c>
      <c r="E159" s="1">
        <v>2</v>
      </c>
      <c r="F159" s="1">
        <v>9502</v>
      </c>
      <c r="G159" s="4">
        <v>45084</v>
      </c>
      <c r="H159" s="1">
        <v>45481</v>
      </c>
      <c r="I159" s="6">
        <v>1900.4</v>
      </c>
    </row>
    <row r="160" spans="1:9" x14ac:dyDescent="0.25">
      <c r="A160" s="5" t="s">
        <v>15</v>
      </c>
      <c r="B160" s="1" t="s">
        <v>1</v>
      </c>
      <c r="C160" s="1" t="s">
        <v>9</v>
      </c>
      <c r="D160" s="1" t="s">
        <v>18</v>
      </c>
      <c r="E160" s="1">
        <v>1</v>
      </c>
      <c r="F160" s="1">
        <v>1545</v>
      </c>
      <c r="G160" s="4">
        <v>45085</v>
      </c>
      <c r="H160" s="1">
        <v>9502</v>
      </c>
      <c r="I160" s="6">
        <v>309</v>
      </c>
    </row>
    <row r="161" spans="1:9" x14ac:dyDescent="0.25">
      <c r="A161" s="5" t="s">
        <v>8</v>
      </c>
      <c r="B161" s="1" t="s">
        <v>5</v>
      </c>
      <c r="C161" s="1" t="s">
        <v>6</v>
      </c>
      <c r="D161" s="1" t="s">
        <v>3</v>
      </c>
      <c r="E161" s="1">
        <v>3</v>
      </c>
      <c r="F161" s="1">
        <v>38114</v>
      </c>
      <c r="G161" s="4">
        <v>45086</v>
      </c>
      <c r="H161" s="1">
        <v>1545</v>
      </c>
      <c r="I161" s="6">
        <v>7622.8</v>
      </c>
    </row>
    <row r="162" spans="1:9" x14ac:dyDescent="0.25">
      <c r="A162" s="5" t="s">
        <v>20</v>
      </c>
      <c r="B162" s="1" t="s">
        <v>1</v>
      </c>
      <c r="C162" s="1" t="s">
        <v>12</v>
      </c>
      <c r="D162" s="1" t="s">
        <v>7</v>
      </c>
      <c r="E162" s="1">
        <v>6</v>
      </c>
      <c r="F162" s="1">
        <v>30430</v>
      </c>
      <c r="G162" s="4">
        <v>45087</v>
      </c>
      <c r="H162" s="1">
        <v>38114</v>
      </c>
      <c r="I162" s="6">
        <v>6086</v>
      </c>
    </row>
    <row r="163" spans="1:9" x14ac:dyDescent="0.25">
      <c r="A163" s="5" t="s">
        <v>8</v>
      </c>
      <c r="B163" s="1" t="s">
        <v>17</v>
      </c>
      <c r="C163" s="1" t="s">
        <v>2</v>
      </c>
      <c r="D163" s="1" t="s">
        <v>10</v>
      </c>
      <c r="E163" s="1">
        <v>8</v>
      </c>
      <c r="F163" s="1">
        <v>10996</v>
      </c>
      <c r="G163" s="4">
        <v>45088</v>
      </c>
      <c r="H163" s="1">
        <v>30430</v>
      </c>
      <c r="I163" s="6">
        <v>2199.1999999999998</v>
      </c>
    </row>
    <row r="164" spans="1:9" x14ac:dyDescent="0.25">
      <c r="A164" s="5" t="s">
        <v>25</v>
      </c>
      <c r="B164" s="1" t="s">
        <v>5</v>
      </c>
      <c r="C164" s="1" t="s">
        <v>9</v>
      </c>
      <c r="D164" s="1" t="s">
        <v>18</v>
      </c>
      <c r="E164" s="1">
        <v>9</v>
      </c>
      <c r="F164" s="1">
        <v>28788</v>
      </c>
      <c r="G164" s="4">
        <v>45089</v>
      </c>
      <c r="H164" s="1">
        <v>10996</v>
      </c>
      <c r="I164" s="6">
        <v>5757.6</v>
      </c>
    </row>
    <row r="165" spans="1:9" x14ac:dyDescent="0.25">
      <c r="A165" s="5" t="s">
        <v>4</v>
      </c>
      <c r="B165" s="1" t="s">
        <v>17</v>
      </c>
      <c r="C165" s="1" t="s">
        <v>12</v>
      </c>
      <c r="D165" s="1" t="s">
        <v>13</v>
      </c>
      <c r="E165" s="1">
        <v>7</v>
      </c>
      <c r="F165" s="1">
        <v>30969</v>
      </c>
      <c r="G165" s="4">
        <v>45090</v>
      </c>
      <c r="H165" s="1">
        <v>28788</v>
      </c>
      <c r="I165" s="6">
        <v>6193.8</v>
      </c>
    </row>
    <row r="166" spans="1:9" x14ac:dyDescent="0.25">
      <c r="A166" s="5" t="s">
        <v>24</v>
      </c>
      <c r="B166" s="1" t="s">
        <v>1</v>
      </c>
      <c r="C166" s="1" t="s">
        <v>9</v>
      </c>
      <c r="D166" s="1" t="s">
        <v>3</v>
      </c>
      <c r="E166" s="1">
        <v>4</v>
      </c>
      <c r="F166" s="1">
        <v>49543</v>
      </c>
      <c r="G166" s="4">
        <v>45091</v>
      </c>
      <c r="H166" s="1">
        <v>30969</v>
      </c>
      <c r="I166" s="6">
        <v>9908.6</v>
      </c>
    </row>
    <row r="167" spans="1:9" x14ac:dyDescent="0.25">
      <c r="A167" s="5" t="s">
        <v>24</v>
      </c>
      <c r="B167" s="1" t="s">
        <v>14</v>
      </c>
      <c r="C167" s="1" t="s">
        <v>2</v>
      </c>
      <c r="D167" s="1" t="s">
        <v>23</v>
      </c>
      <c r="E167" s="1">
        <v>6</v>
      </c>
      <c r="F167" s="1">
        <v>14919</v>
      </c>
      <c r="G167" s="4">
        <v>45092</v>
      </c>
      <c r="H167" s="1">
        <v>49543</v>
      </c>
      <c r="I167" s="6">
        <v>2983.8</v>
      </c>
    </row>
    <row r="168" spans="1:9" x14ac:dyDescent="0.25">
      <c r="A168" s="5" t="s">
        <v>15</v>
      </c>
      <c r="B168" s="1" t="s">
        <v>1</v>
      </c>
      <c r="C168" s="1" t="s">
        <v>2</v>
      </c>
      <c r="D168" s="1" t="s">
        <v>3</v>
      </c>
      <c r="E168" s="1">
        <v>5</v>
      </c>
      <c r="F168" s="1">
        <v>4810</v>
      </c>
      <c r="G168" s="4">
        <v>45093</v>
      </c>
      <c r="H168" s="1">
        <v>14919</v>
      </c>
      <c r="I168" s="6">
        <v>962</v>
      </c>
    </row>
    <row r="169" spans="1:9" x14ac:dyDescent="0.25">
      <c r="A169" s="5" t="s">
        <v>4</v>
      </c>
      <c r="B169" s="1" t="s">
        <v>17</v>
      </c>
      <c r="C169" s="1" t="s">
        <v>9</v>
      </c>
      <c r="D169" s="1" t="s">
        <v>18</v>
      </c>
      <c r="E169" s="1">
        <v>8</v>
      </c>
      <c r="F169" s="1">
        <v>31586</v>
      </c>
      <c r="G169" s="4">
        <v>45094</v>
      </c>
      <c r="H169" s="1">
        <v>4810</v>
      </c>
      <c r="I169" s="6">
        <v>6317.2</v>
      </c>
    </row>
    <row r="170" spans="1:9" x14ac:dyDescent="0.25">
      <c r="A170" s="5" t="s">
        <v>0</v>
      </c>
      <c r="B170" s="1" t="s">
        <v>17</v>
      </c>
      <c r="C170" s="1" t="s">
        <v>12</v>
      </c>
      <c r="D170" s="1" t="s">
        <v>19</v>
      </c>
      <c r="E170" s="1">
        <v>1</v>
      </c>
      <c r="F170" s="1">
        <v>40974</v>
      </c>
      <c r="G170" s="4">
        <v>45095</v>
      </c>
      <c r="H170" s="1">
        <v>31586</v>
      </c>
      <c r="I170" s="6">
        <v>8194.7999999999993</v>
      </c>
    </row>
    <row r="171" spans="1:9" x14ac:dyDescent="0.25">
      <c r="A171" s="5" t="s">
        <v>22</v>
      </c>
      <c r="B171" s="1" t="s">
        <v>5</v>
      </c>
      <c r="C171" s="1" t="s">
        <v>6</v>
      </c>
      <c r="D171" s="1" t="s">
        <v>13</v>
      </c>
      <c r="E171" s="1">
        <v>1</v>
      </c>
      <c r="F171" s="1">
        <v>42773</v>
      </c>
      <c r="G171" s="4">
        <v>45096</v>
      </c>
      <c r="H171" s="1">
        <v>40974</v>
      </c>
      <c r="I171" s="6">
        <v>8554.6</v>
      </c>
    </row>
    <row r="172" spans="1:9" x14ac:dyDescent="0.25">
      <c r="A172" s="5" t="s">
        <v>16</v>
      </c>
      <c r="B172" s="1" t="s">
        <v>14</v>
      </c>
      <c r="C172" s="1" t="s">
        <v>2</v>
      </c>
      <c r="D172" s="1" t="s">
        <v>19</v>
      </c>
      <c r="E172" s="1">
        <v>6</v>
      </c>
      <c r="F172" s="1">
        <v>17371</v>
      </c>
      <c r="G172" s="4">
        <v>45097</v>
      </c>
      <c r="H172" s="1">
        <v>42773</v>
      </c>
      <c r="I172" s="6">
        <v>3474.2</v>
      </c>
    </row>
    <row r="173" spans="1:9" x14ac:dyDescent="0.25">
      <c r="A173" s="5" t="s">
        <v>24</v>
      </c>
      <c r="B173" s="1" t="s">
        <v>5</v>
      </c>
      <c r="C173" s="1" t="s">
        <v>12</v>
      </c>
      <c r="D173" s="1" t="s">
        <v>10</v>
      </c>
      <c r="E173" s="1">
        <v>2</v>
      </c>
      <c r="F173" s="1">
        <v>46084</v>
      </c>
      <c r="G173" s="4">
        <v>45098</v>
      </c>
      <c r="H173" s="1">
        <v>17371</v>
      </c>
      <c r="I173" s="6">
        <v>9216.7999999999993</v>
      </c>
    </row>
    <row r="174" spans="1:9" x14ac:dyDescent="0.25">
      <c r="A174" s="5" t="s">
        <v>11</v>
      </c>
      <c r="B174" s="1" t="s">
        <v>17</v>
      </c>
      <c r="C174" s="1" t="s">
        <v>12</v>
      </c>
      <c r="D174" s="1" t="s">
        <v>19</v>
      </c>
      <c r="E174" s="1">
        <v>5</v>
      </c>
      <c r="F174" s="1">
        <v>30629</v>
      </c>
      <c r="G174" s="4">
        <v>45099</v>
      </c>
      <c r="H174" s="1">
        <v>46084</v>
      </c>
      <c r="I174" s="6">
        <v>6125.8</v>
      </c>
    </row>
    <row r="175" spans="1:9" x14ac:dyDescent="0.25">
      <c r="A175" s="5" t="s">
        <v>24</v>
      </c>
      <c r="B175" s="1" t="s">
        <v>1</v>
      </c>
      <c r="C175" s="1" t="s">
        <v>6</v>
      </c>
      <c r="D175" s="1" t="s">
        <v>10</v>
      </c>
      <c r="E175" s="1">
        <v>1</v>
      </c>
      <c r="F175" s="1">
        <v>9436</v>
      </c>
      <c r="G175" s="4">
        <v>45100</v>
      </c>
      <c r="H175" s="1">
        <v>30629</v>
      </c>
      <c r="I175" s="6">
        <v>1887.2</v>
      </c>
    </row>
    <row r="176" spans="1:9" x14ac:dyDescent="0.25">
      <c r="A176" s="5" t="s">
        <v>8</v>
      </c>
      <c r="B176" s="1" t="s">
        <v>14</v>
      </c>
      <c r="C176" s="1" t="s">
        <v>2</v>
      </c>
      <c r="D176" s="1" t="s">
        <v>10</v>
      </c>
      <c r="E176" s="1">
        <v>7</v>
      </c>
      <c r="F176" s="1">
        <v>13984</v>
      </c>
      <c r="G176" s="4">
        <v>45101</v>
      </c>
      <c r="H176" s="1">
        <v>9436</v>
      </c>
      <c r="I176" s="6">
        <v>2796.8</v>
      </c>
    </row>
    <row r="177" spans="1:9" x14ac:dyDescent="0.25">
      <c r="A177" s="5" t="s">
        <v>24</v>
      </c>
      <c r="B177" s="1" t="s">
        <v>1</v>
      </c>
      <c r="C177" s="1" t="s">
        <v>2</v>
      </c>
      <c r="D177" s="1" t="s">
        <v>18</v>
      </c>
      <c r="E177" s="1">
        <v>1</v>
      </c>
      <c r="F177" s="1">
        <v>34039</v>
      </c>
      <c r="G177" s="4">
        <v>45102</v>
      </c>
      <c r="H177" s="1">
        <v>13984</v>
      </c>
      <c r="I177" s="6">
        <v>6807.8</v>
      </c>
    </row>
    <row r="178" spans="1:9" x14ac:dyDescent="0.25">
      <c r="A178" s="5" t="s">
        <v>24</v>
      </c>
      <c r="B178" s="1" t="s">
        <v>1</v>
      </c>
      <c r="C178" s="1" t="s">
        <v>12</v>
      </c>
      <c r="D178" s="1" t="s">
        <v>19</v>
      </c>
      <c r="E178" s="1">
        <v>4</v>
      </c>
      <c r="F178" s="1">
        <v>20895</v>
      </c>
      <c r="G178" s="4">
        <v>45103</v>
      </c>
      <c r="H178" s="1">
        <v>34039</v>
      </c>
      <c r="I178" s="6">
        <v>4179</v>
      </c>
    </row>
    <row r="179" spans="1:9" x14ac:dyDescent="0.25">
      <c r="A179" s="5" t="s">
        <v>22</v>
      </c>
      <c r="B179" s="1" t="s">
        <v>14</v>
      </c>
      <c r="C179" s="1" t="s">
        <v>12</v>
      </c>
      <c r="D179" s="1" t="s">
        <v>10</v>
      </c>
      <c r="E179" s="1">
        <v>9</v>
      </c>
      <c r="F179" s="1">
        <v>19155</v>
      </c>
      <c r="G179" s="4">
        <v>45104</v>
      </c>
      <c r="H179" s="1">
        <v>20895</v>
      </c>
      <c r="I179" s="6">
        <v>3831</v>
      </c>
    </row>
    <row r="180" spans="1:9" x14ac:dyDescent="0.25">
      <c r="A180" s="5" t="s">
        <v>22</v>
      </c>
      <c r="B180" s="1" t="s">
        <v>5</v>
      </c>
      <c r="C180" s="1" t="s">
        <v>6</v>
      </c>
      <c r="D180" s="1" t="s">
        <v>7</v>
      </c>
      <c r="E180" s="1">
        <v>1</v>
      </c>
      <c r="F180" s="1">
        <v>11616</v>
      </c>
      <c r="G180" s="4">
        <v>45105</v>
      </c>
      <c r="H180" s="1">
        <v>19155</v>
      </c>
      <c r="I180" s="6">
        <v>2323.1999999999998</v>
      </c>
    </row>
    <row r="181" spans="1:9" x14ac:dyDescent="0.25">
      <c r="A181" s="5" t="s">
        <v>20</v>
      </c>
      <c r="B181" s="1" t="s">
        <v>1</v>
      </c>
      <c r="C181" s="1" t="s">
        <v>6</v>
      </c>
      <c r="D181" s="1" t="s">
        <v>23</v>
      </c>
      <c r="E181" s="1">
        <v>4</v>
      </c>
      <c r="F181" s="1">
        <v>38129</v>
      </c>
      <c r="G181" s="4">
        <v>45106</v>
      </c>
      <c r="H181" s="1">
        <v>11616</v>
      </c>
      <c r="I181" s="6">
        <v>7625.8</v>
      </c>
    </row>
    <row r="182" spans="1:9" x14ac:dyDescent="0.25">
      <c r="A182" s="5" t="s">
        <v>0</v>
      </c>
      <c r="B182" s="1" t="s">
        <v>17</v>
      </c>
      <c r="C182" s="1" t="s">
        <v>2</v>
      </c>
      <c r="D182" s="1" t="s">
        <v>3</v>
      </c>
      <c r="E182" s="1">
        <v>6</v>
      </c>
      <c r="F182" s="1">
        <v>40837</v>
      </c>
      <c r="G182" s="4">
        <v>45107</v>
      </c>
      <c r="H182" s="1">
        <v>38129</v>
      </c>
      <c r="I182" s="6">
        <v>8167.4</v>
      </c>
    </row>
    <row r="183" spans="1:9" x14ac:dyDescent="0.25">
      <c r="A183" s="5" t="s">
        <v>11</v>
      </c>
      <c r="B183" s="1" t="s">
        <v>1</v>
      </c>
      <c r="C183" s="1" t="s">
        <v>9</v>
      </c>
      <c r="D183" s="1" t="s">
        <v>3</v>
      </c>
      <c r="E183" s="1">
        <v>6</v>
      </c>
      <c r="F183" s="1">
        <v>25574</v>
      </c>
      <c r="G183" s="4">
        <v>45108</v>
      </c>
      <c r="H183" s="1">
        <v>40837</v>
      </c>
      <c r="I183" s="6">
        <v>5114.8</v>
      </c>
    </row>
    <row r="184" spans="1:9" x14ac:dyDescent="0.25">
      <c r="A184" s="5" t="s">
        <v>24</v>
      </c>
      <c r="B184" s="1" t="s">
        <v>14</v>
      </c>
      <c r="C184" s="1" t="s">
        <v>2</v>
      </c>
      <c r="D184" s="1" t="s">
        <v>18</v>
      </c>
      <c r="E184" s="1">
        <v>8</v>
      </c>
      <c r="F184" s="1">
        <v>4430</v>
      </c>
      <c r="G184" s="4">
        <v>45109</v>
      </c>
      <c r="H184" s="1">
        <v>25574</v>
      </c>
      <c r="I184" s="6">
        <v>886</v>
      </c>
    </row>
    <row r="185" spans="1:9" x14ac:dyDescent="0.25">
      <c r="A185" s="5" t="s">
        <v>24</v>
      </c>
      <c r="B185" s="1" t="s">
        <v>14</v>
      </c>
      <c r="C185" s="1" t="s">
        <v>12</v>
      </c>
      <c r="D185" s="1" t="s">
        <v>19</v>
      </c>
      <c r="E185" s="1">
        <v>1</v>
      </c>
      <c r="F185" s="1">
        <v>13676</v>
      </c>
      <c r="G185" s="4">
        <v>45110</v>
      </c>
      <c r="H185" s="1">
        <v>4430</v>
      </c>
      <c r="I185" s="6">
        <v>2735.2</v>
      </c>
    </row>
    <row r="186" spans="1:9" x14ac:dyDescent="0.25">
      <c r="A186" s="5" t="s">
        <v>16</v>
      </c>
      <c r="B186" s="1" t="s">
        <v>14</v>
      </c>
      <c r="C186" s="1" t="s">
        <v>2</v>
      </c>
      <c r="D186" s="1" t="s">
        <v>19</v>
      </c>
      <c r="E186" s="1">
        <v>7</v>
      </c>
      <c r="F186" s="1">
        <v>11816</v>
      </c>
      <c r="G186" s="4">
        <v>45111</v>
      </c>
      <c r="H186" s="1">
        <v>13676</v>
      </c>
      <c r="I186" s="6">
        <v>2363.1999999999998</v>
      </c>
    </row>
    <row r="187" spans="1:9" x14ac:dyDescent="0.25">
      <c r="A187" s="5" t="s">
        <v>22</v>
      </c>
      <c r="B187" s="1" t="s">
        <v>5</v>
      </c>
      <c r="C187" s="1" t="s">
        <v>9</v>
      </c>
      <c r="D187" s="1" t="s">
        <v>10</v>
      </c>
      <c r="E187" s="1">
        <v>1</v>
      </c>
      <c r="F187" s="1">
        <v>33733</v>
      </c>
      <c r="G187" s="4">
        <v>45112</v>
      </c>
      <c r="H187" s="1">
        <v>11816</v>
      </c>
      <c r="I187" s="6">
        <v>6746.6</v>
      </c>
    </row>
    <row r="188" spans="1:9" x14ac:dyDescent="0.25">
      <c r="A188" s="5" t="s">
        <v>11</v>
      </c>
      <c r="B188" s="1" t="s">
        <v>1</v>
      </c>
      <c r="C188" s="1" t="s">
        <v>6</v>
      </c>
      <c r="D188" s="1" t="s">
        <v>13</v>
      </c>
      <c r="E188" s="1">
        <v>7</v>
      </c>
      <c r="F188" s="1">
        <v>21144</v>
      </c>
      <c r="G188" s="4">
        <v>45113</v>
      </c>
      <c r="H188" s="1">
        <v>33733</v>
      </c>
      <c r="I188" s="6">
        <v>4228.8</v>
      </c>
    </row>
    <row r="189" spans="1:9" x14ac:dyDescent="0.25">
      <c r="A189" s="5" t="s">
        <v>15</v>
      </c>
      <c r="B189" s="1" t="s">
        <v>5</v>
      </c>
      <c r="C189" s="1" t="s">
        <v>9</v>
      </c>
      <c r="D189" s="1" t="s">
        <v>21</v>
      </c>
      <c r="E189" s="1">
        <v>3</v>
      </c>
      <c r="F189" s="1">
        <v>3050</v>
      </c>
      <c r="G189" s="4">
        <v>45114</v>
      </c>
      <c r="H189" s="1">
        <v>21144</v>
      </c>
      <c r="I189" s="6">
        <v>610</v>
      </c>
    </row>
    <row r="190" spans="1:9" x14ac:dyDescent="0.25">
      <c r="A190" s="5" t="s">
        <v>20</v>
      </c>
      <c r="B190" s="1" t="s">
        <v>5</v>
      </c>
      <c r="C190" s="1" t="s">
        <v>9</v>
      </c>
      <c r="D190" s="1" t="s">
        <v>10</v>
      </c>
      <c r="E190" s="1">
        <v>8</v>
      </c>
      <c r="F190" s="1">
        <v>45460</v>
      </c>
      <c r="G190" s="4">
        <v>45115</v>
      </c>
      <c r="H190" s="1">
        <v>3050</v>
      </c>
      <c r="I190" s="6">
        <v>9092</v>
      </c>
    </row>
    <row r="191" spans="1:9" x14ac:dyDescent="0.25">
      <c r="A191" s="5" t="s">
        <v>0</v>
      </c>
      <c r="B191" s="1" t="s">
        <v>14</v>
      </c>
      <c r="C191" s="1" t="s">
        <v>9</v>
      </c>
      <c r="D191" s="1" t="s">
        <v>23</v>
      </c>
      <c r="E191" s="1">
        <v>3</v>
      </c>
      <c r="F191" s="1">
        <v>34933</v>
      </c>
      <c r="G191" s="4">
        <v>45116</v>
      </c>
      <c r="H191" s="1">
        <v>45460</v>
      </c>
      <c r="I191" s="6">
        <v>6986.6</v>
      </c>
    </row>
    <row r="192" spans="1:9" x14ac:dyDescent="0.25">
      <c r="A192" s="5" t="s">
        <v>4</v>
      </c>
      <c r="B192" s="1" t="s">
        <v>14</v>
      </c>
      <c r="C192" s="1" t="s">
        <v>6</v>
      </c>
      <c r="D192" s="1" t="s">
        <v>7</v>
      </c>
      <c r="E192" s="1">
        <v>1</v>
      </c>
      <c r="F192" s="1">
        <v>25951</v>
      </c>
      <c r="G192" s="4">
        <v>45117</v>
      </c>
      <c r="H192" s="1">
        <v>34933</v>
      </c>
      <c r="I192" s="6">
        <v>5190.2</v>
      </c>
    </row>
    <row r="193" spans="1:9" x14ac:dyDescent="0.25">
      <c r="A193" s="5" t="s">
        <v>0</v>
      </c>
      <c r="B193" s="1" t="s">
        <v>5</v>
      </c>
      <c r="C193" s="1" t="s">
        <v>9</v>
      </c>
      <c r="D193" s="1" t="s">
        <v>3</v>
      </c>
      <c r="E193" s="1">
        <v>8</v>
      </c>
      <c r="F193" s="1">
        <v>33413</v>
      </c>
      <c r="G193" s="4">
        <v>45118</v>
      </c>
      <c r="H193" s="1">
        <v>25951</v>
      </c>
      <c r="I193" s="6">
        <v>6682.6</v>
      </c>
    </row>
    <row r="194" spans="1:9" x14ac:dyDescent="0.25">
      <c r="A194" s="5" t="s">
        <v>8</v>
      </c>
      <c r="B194" s="1" t="s">
        <v>1</v>
      </c>
      <c r="C194" s="1" t="s">
        <v>9</v>
      </c>
      <c r="D194" s="1" t="s">
        <v>10</v>
      </c>
      <c r="E194" s="1">
        <v>3</v>
      </c>
      <c r="F194" s="1">
        <v>35801</v>
      </c>
      <c r="G194" s="4">
        <v>45119</v>
      </c>
      <c r="H194" s="1">
        <v>33413</v>
      </c>
      <c r="I194" s="6">
        <v>7160.2</v>
      </c>
    </row>
    <row r="195" spans="1:9" x14ac:dyDescent="0.25">
      <c r="A195" s="5" t="s">
        <v>24</v>
      </c>
      <c r="B195" s="1" t="s">
        <v>17</v>
      </c>
      <c r="C195" s="1" t="s">
        <v>9</v>
      </c>
      <c r="D195" s="1" t="s">
        <v>21</v>
      </c>
      <c r="E195" s="1">
        <v>2</v>
      </c>
      <c r="F195" s="1">
        <v>33913</v>
      </c>
      <c r="G195" s="4">
        <v>45120</v>
      </c>
      <c r="H195" s="1">
        <v>35801</v>
      </c>
      <c r="I195" s="6">
        <v>6782.6</v>
      </c>
    </row>
    <row r="196" spans="1:9" x14ac:dyDescent="0.25">
      <c r="A196" s="5" t="s">
        <v>20</v>
      </c>
      <c r="B196" s="1" t="s">
        <v>5</v>
      </c>
      <c r="C196" s="1" t="s">
        <v>12</v>
      </c>
      <c r="D196" s="1" t="s">
        <v>21</v>
      </c>
      <c r="E196" s="1">
        <v>1</v>
      </c>
      <c r="F196" s="1">
        <v>48037</v>
      </c>
      <c r="G196" s="4">
        <v>45121</v>
      </c>
      <c r="H196" s="1">
        <v>33913</v>
      </c>
      <c r="I196" s="6">
        <v>9607.4</v>
      </c>
    </row>
    <row r="197" spans="1:9" x14ac:dyDescent="0.25">
      <c r="A197" s="5" t="s">
        <v>8</v>
      </c>
      <c r="B197" s="1" t="s">
        <v>1</v>
      </c>
      <c r="C197" s="1" t="s">
        <v>9</v>
      </c>
      <c r="D197" s="1" t="s">
        <v>10</v>
      </c>
      <c r="E197" s="1">
        <v>3</v>
      </c>
      <c r="F197" s="1">
        <v>41600</v>
      </c>
      <c r="G197" s="4">
        <v>45122</v>
      </c>
      <c r="H197" s="1">
        <v>48037</v>
      </c>
      <c r="I197" s="6">
        <v>8320</v>
      </c>
    </row>
    <row r="198" spans="1:9" x14ac:dyDescent="0.25">
      <c r="A198" s="5" t="s">
        <v>11</v>
      </c>
      <c r="B198" s="1" t="s">
        <v>14</v>
      </c>
      <c r="C198" s="1" t="s">
        <v>6</v>
      </c>
      <c r="D198" s="1" t="s">
        <v>18</v>
      </c>
      <c r="E198" s="1">
        <v>2</v>
      </c>
      <c r="F198" s="1">
        <v>26280</v>
      </c>
      <c r="G198" s="4">
        <v>45123</v>
      </c>
      <c r="H198" s="1">
        <v>41600</v>
      </c>
      <c r="I198" s="6">
        <v>5256</v>
      </c>
    </row>
    <row r="199" spans="1:9" x14ac:dyDescent="0.25">
      <c r="A199" s="5" t="s">
        <v>4</v>
      </c>
      <c r="B199" s="1" t="s">
        <v>14</v>
      </c>
      <c r="C199" s="1" t="s">
        <v>9</v>
      </c>
      <c r="D199" s="1" t="s">
        <v>3</v>
      </c>
      <c r="E199" s="1">
        <v>2</v>
      </c>
      <c r="F199" s="1">
        <v>25557</v>
      </c>
      <c r="G199" s="4">
        <v>45124</v>
      </c>
      <c r="H199" s="1">
        <v>26280</v>
      </c>
      <c r="I199" s="6">
        <v>5111.3999999999996</v>
      </c>
    </row>
    <row r="200" spans="1:9" x14ac:dyDescent="0.25">
      <c r="A200" s="5" t="s">
        <v>22</v>
      </c>
      <c r="B200" s="1" t="s">
        <v>1</v>
      </c>
      <c r="C200" s="1" t="s">
        <v>9</v>
      </c>
      <c r="D200" s="1" t="s">
        <v>18</v>
      </c>
      <c r="E200" s="1">
        <v>6</v>
      </c>
      <c r="F200" s="1">
        <v>48054</v>
      </c>
      <c r="G200" s="4">
        <v>45125</v>
      </c>
      <c r="H200" s="1">
        <v>25557</v>
      </c>
      <c r="I200" s="6">
        <v>9610.7999999999993</v>
      </c>
    </row>
    <row r="201" spans="1:9" x14ac:dyDescent="0.25">
      <c r="A201" s="5" t="s">
        <v>20</v>
      </c>
      <c r="B201" s="1" t="s">
        <v>17</v>
      </c>
      <c r="C201" s="1" t="s">
        <v>6</v>
      </c>
      <c r="D201" s="1" t="s">
        <v>7</v>
      </c>
      <c r="E201" s="1">
        <v>1</v>
      </c>
      <c r="F201" s="1">
        <v>36400</v>
      </c>
      <c r="G201" s="4">
        <v>45126</v>
      </c>
      <c r="H201" s="1">
        <v>48054</v>
      </c>
      <c r="I201" s="6">
        <v>7280</v>
      </c>
    </row>
    <row r="202" spans="1:9" x14ac:dyDescent="0.25">
      <c r="A202" s="5" t="s">
        <v>20</v>
      </c>
      <c r="B202" s="1" t="s">
        <v>14</v>
      </c>
      <c r="C202" s="1" t="s">
        <v>9</v>
      </c>
      <c r="D202" s="1" t="s">
        <v>21</v>
      </c>
      <c r="E202" s="1">
        <v>2</v>
      </c>
      <c r="F202" s="1">
        <v>5494</v>
      </c>
      <c r="G202" s="4">
        <v>45127</v>
      </c>
      <c r="H202" s="1">
        <v>36400</v>
      </c>
      <c r="I202" s="6">
        <v>1098.8</v>
      </c>
    </row>
    <row r="203" spans="1:9" x14ac:dyDescent="0.25">
      <c r="A203" s="5" t="s">
        <v>24</v>
      </c>
      <c r="B203" s="1" t="s">
        <v>14</v>
      </c>
      <c r="C203" s="1" t="s">
        <v>6</v>
      </c>
      <c r="D203" s="1" t="s">
        <v>21</v>
      </c>
      <c r="E203" s="1">
        <v>6</v>
      </c>
      <c r="F203" s="1">
        <v>16152</v>
      </c>
      <c r="G203" s="4">
        <v>45128</v>
      </c>
      <c r="H203" s="1">
        <v>5494</v>
      </c>
      <c r="I203" s="6">
        <v>3230.4</v>
      </c>
    </row>
    <row r="204" spans="1:9" x14ac:dyDescent="0.25">
      <c r="A204" s="5" t="s">
        <v>25</v>
      </c>
      <c r="B204" s="1" t="s">
        <v>14</v>
      </c>
      <c r="C204" s="1" t="s">
        <v>9</v>
      </c>
      <c r="D204" s="1" t="s">
        <v>23</v>
      </c>
      <c r="E204" s="1">
        <v>3</v>
      </c>
      <c r="F204" s="1">
        <v>24895</v>
      </c>
      <c r="G204" s="4">
        <v>45129</v>
      </c>
      <c r="H204" s="1">
        <v>16152</v>
      </c>
      <c r="I204" s="6">
        <v>4979</v>
      </c>
    </row>
    <row r="205" spans="1:9" x14ac:dyDescent="0.25">
      <c r="A205" s="5" t="s">
        <v>20</v>
      </c>
      <c r="B205" s="1" t="s">
        <v>1</v>
      </c>
      <c r="C205" s="1" t="s">
        <v>6</v>
      </c>
      <c r="D205" s="1" t="s">
        <v>7</v>
      </c>
      <c r="E205" s="1">
        <v>4</v>
      </c>
      <c r="F205" s="1">
        <v>10155</v>
      </c>
      <c r="G205" s="4">
        <v>45130</v>
      </c>
      <c r="H205" s="1">
        <v>24895</v>
      </c>
      <c r="I205" s="6">
        <v>2031</v>
      </c>
    </row>
    <row r="206" spans="1:9" x14ac:dyDescent="0.25">
      <c r="A206" s="5" t="s">
        <v>16</v>
      </c>
      <c r="B206" s="1" t="s">
        <v>5</v>
      </c>
      <c r="C206" s="1" t="s">
        <v>9</v>
      </c>
      <c r="D206" s="1" t="s">
        <v>21</v>
      </c>
      <c r="E206" s="1">
        <v>1</v>
      </c>
      <c r="F206" s="1">
        <v>32883</v>
      </c>
      <c r="G206" s="4">
        <v>45131</v>
      </c>
      <c r="H206" s="1">
        <v>10155</v>
      </c>
      <c r="I206" s="6">
        <v>6576.6</v>
      </c>
    </row>
    <row r="207" spans="1:9" x14ac:dyDescent="0.25">
      <c r="A207" s="5" t="s">
        <v>4</v>
      </c>
      <c r="B207" s="1" t="s">
        <v>14</v>
      </c>
      <c r="C207" s="1" t="s">
        <v>9</v>
      </c>
      <c r="D207" s="1" t="s">
        <v>7</v>
      </c>
      <c r="E207" s="1">
        <v>8</v>
      </c>
      <c r="F207" s="1">
        <v>44194</v>
      </c>
      <c r="G207" s="4">
        <v>45132</v>
      </c>
      <c r="H207" s="1">
        <v>32883</v>
      </c>
      <c r="I207" s="6">
        <v>8838.7999999999993</v>
      </c>
    </row>
    <row r="208" spans="1:9" x14ac:dyDescent="0.25">
      <c r="A208" s="5" t="s">
        <v>4</v>
      </c>
      <c r="B208" s="1" t="s">
        <v>5</v>
      </c>
      <c r="C208" s="1" t="s">
        <v>12</v>
      </c>
      <c r="D208" s="1" t="s">
        <v>3</v>
      </c>
      <c r="E208" s="1">
        <v>7</v>
      </c>
      <c r="F208" s="1">
        <v>44001</v>
      </c>
      <c r="G208" s="4">
        <v>45133</v>
      </c>
      <c r="H208" s="1">
        <v>44194</v>
      </c>
      <c r="I208" s="6">
        <v>8800.2000000000007</v>
      </c>
    </row>
    <row r="209" spans="1:9" x14ac:dyDescent="0.25">
      <c r="A209" s="5" t="s">
        <v>16</v>
      </c>
      <c r="B209" s="1" t="s">
        <v>17</v>
      </c>
      <c r="C209" s="1" t="s">
        <v>12</v>
      </c>
      <c r="D209" s="1" t="s">
        <v>19</v>
      </c>
      <c r="E209" s="1">
        <v>7</v>
      </c>
      <c r="F209" s="1">
        <v>2828</v>
      </c>
      <c r="G209" s="4">
        <v>45134</v>
      </c>
      <c r="H209" s="1">
        <v>44001</v>
      </c>
      <c r="I209" s="6">
        <v>565.6</v>
      </c>
    </row>
    <row r="210" spans="1:9" x14ac:dyDescent="0.25">
      <c r="A210" s="5" t="s">
        <v>15</v>
      </c>
      <c r="B210" s="1" t="s">
        <v>14</v>
      </c>
      <c r="C210" s="1" t="s">
        <v>9</v>
      </c>
      <c r="D210" s="1" t="s">
        <v>21</v>
      </c>
      <c r="E210" s="1">
        <v>3</v>
      </c>
      <c r="F210" s="1">
        <v>46028</v>
      </c>
      <c r="G210" s="4">
        <v>45135</v>
      </c>
      <c r="H210" s="1">
        <v>2828</v>
      </c>
      <c r="I210" s="6">
        <v>9205.6</v>
      </c>
    </row>
    <row r="211" spans="1:9" x14ac:dyDescent="0.25">
      <c r="A211" s="5" t="s">
        <v>16</v>
      </c>
      <c r="B211" s="1" t="s">
        <v>14</v>
      </c>
      <c r="C211" s="1" t="s">
        <v>9</v>
      </c>
      <c r="D211" s="1" t="s">
        <v>23</v>
      </c>
      <c r="E211" s="1">
        <v>3</v>
      </c>
      <c r="F211" s="1">
        <v>42898</v>
      </c>
      <c r="G211" s="4">
        <v>45136</v>
      </c>
      <c r="H211" s="1">
        <v>46028</v>
      </c>
      <c r="I211" s="6">
        <v>8579.6</v>
      </c>
    </row>
    <row r="212" spans="1:9" x14ac:dyDescent="0.25">
      <c r="A212" s="5" t="s">
        <v>16</v>
      </c>
      <c r="B212" s="1" t="s">
        <v>17</v>
      </c>
      <c r="C212" s="1" t="s">
        <v>2</v>
      </c>
      <c r="D212" s="1" t="s">
        <v>3</v>
      </c>
      <c r="E212" s="1">
        <v>2</v>
      </c>
      <c r="F212" s="1">
        <v>33123</v>
      </c>
      <c r="G212" s="4">
        <v>45137</v>
      </c>
      <c r="H212" s="1">
        <v>42898</v>
      </c>
      <c r="I212" s="6">
        <v>6624.6</v>
      </c>
    </row>
    <row r="213" spans="1:9" x14ac:dyDescent="0.25">
      <c r="A213" s="5" t="s">
        <v>4</v>
      </c>
      <c r="B213" s="1" t="s">
        <v>14</v>
      </c>
      <c r="C213" s="1" t="s">
        <v>6</v>
      </c>
      <c r="D213" s="1" t="s">
        <v>10</v>
      </c>
      <c r="E213" s="1">
        <v>1</v>
      </c>
      <c r="F213" s="1">
        <v>38573</v>
      </c>
      <c r="G213" s="4">
        <v>45138</v>
      </c>
      <c r="H213" s="1">
        <v>33123</v>
      </c>
      <c r="I213" s="6">
        <v>7714.6</v>
      </c>
    </row>
    <row r="214" spans="1:9" x14ac:dyDescent="0.25">
      <c r="A214" s="5" t="s">
        <v>0</v>
      </c>
      <c r="B214" s="1" t="s">
        <v>5</v>
      </c>
      <c r="C214" s="1" t="s">
        <v>2</v>
      </c>
      <c r="D214" s="1" t="s">
        <v>7</v>
      </c>
      <c r="E214" s="1">
        <v>7</v>
      </c>
      <c r="F214" s="1">
        <v>1806</v>
      </c>
      <c r="G214" s="4">
        <v>45139</v>
      </c>
      <c r="H214" s="1">
        <v>38573</v>
      </c>
      <c r="I214" s="6">
        <v>361.2</v>
      </c>
    </row>
    <row r="215" spans="1:9" x14ac:dyDescent="0.25">
      <c r="A215" s="5" t="s">
        <v>4</v>
      </c>
      <c r="B215" s="1" t="s">
        <v>1</v>
      </c>
      <c r="C215" s="1" t="s">
        <v>12</v>
      </c>
      <c r="D215" s="1" t="s">
        <v>10</v>
      </c>
      <c r="E215" s="1">
        <v>7</v>
      </c>
      <c r="F215" s="1">
        <v>41970</v>
      </c>
      <c r="G215" s="4">
        <v>45140</v>
      </c>
      <c r="H215" s="1">
        <v>1806</v>
      </c>
      <c r="I215" s="6">
        <v>8394</v>
      </c>
    </row>
    <row r="216" spans="1:9" x14ac:dyDescent="0.25">
      <c r="A216" s="5" t="s">
        <v>25</v>
      </c>
      <c r="B216" s="1" t="s">
        <v>5</v>
      </c>
      <c r="C216" s="1" t="s">
        <v>12</v>
      </c>
      <c r="D216" s="1" t="s">
        <v>18</v>
      </c>
      <c r="E216" s="1">
        <v>2</v>
      </c>
      <c r="F216" s="1">
        <v>30757</v>
      </c>
      <c r="G216" s="4">
        <v>45141</v>
      </c>
      <c r="H216" s="1">
        <v>41970</v>
      </c>
      <c r="I216" s="6">
        <v>6151.4</v>
      </c>
    </row>
    <row r="217" spans="1:9" x14ac:dyDescent="0.25">
      <c r="A217" s="5" t="s">
        <v>24</v>
      </c>
      <c r="B217" s="1" t="s">
        <v>1</v>
      </c>
      <c r="C217" s="1" t="s">
        <v>12</v>
      </c>
      <c r="D217" s="1" t="s">
        <v>3</v>
      </c>
      <c r="E217" s="1">
        <v>7</v>
      </c>
      <c r="F217" s="1">
        <v>35636</v>
      </c>
      <c r="G217" s="4">
        <v>45142</v>
      </c>
      <c r="H217" s="1">
        <v>30757</v>
      </c>
      <c r="I217" s="6">
        <v>7127.2</v>
      </c>
    </row>
    <row r="218" spans="1:9" x14ac:dyDescent="0.25">
      <c r="A218" s="5" t="s">
        <v>8</v>
      </c>
      <c r="B218" s="1" t="s">
        <v>1</v>
      </c>
      <c r="C218" s="1" t="s">
        <v>12</v>
      </c>
      <c r="D218" s="1" t="s">
        <v>10</v>
      </c>
      <c r="E218" s="1">
        <v>8</v>
      </c>
      <c r="F218" s="1">
        <v>15561</v>
      </c>
      <c r="G218" s="4">
        <v>45143</v>
      </c>
      <c r="H218" s="1">
        <v>35636</v>
      </c>
      <c r="I218" s="6">
        <v>3112.2</v>
      </c>
    </row>
    <row r="219" spans="1:9" x14ac:dyDescent="0.25">
      <c r="A219" s="5" t="s">
        <v>0</v>
      </c>
      <c r="B219" s="1" t="s">
        <v>5</v>
      </c>
      <c r="C219" s="1" t="s">
        <v>9</v>
      </c>
      <c r="D219" s="1" t="s">
        <v>13</v>
      </c>
      <c r="E219" s="1">
        <v>1</v>
      </c>
      <c r="F219" s="1">
        <v>49280</v>
      </c>
      <c r="G219" s="4">
        <v>45144</v>
      </c>
      <c r="H219" s="1">
        <v>15561</v>
      </c>
      <c r="I219" s="6">
        <v>9856</v>
      </c>
    </row>
    <row r="220" spans="1:9" x14ac:dyDescent="0.25">
      <c r="A220" s="5" t="s">
        <v>22</v>
      </c>
      <c r="B220" s="1" t="s">
        <v>5</v>
      </c>
      <c r="C220" s="1" t="s">
        <v>12</v>
      </c>
      <c r="D220" s="1" t="s">
        <v>13</v>
      </c>
      <c r="E220" s="1">
        <v>9</v>
      </c>
      <c r="F220" s="1">
        <v>25262</v>
      </c>
      <c r="G220" s="4">
        <v>45145</v>
      </c>
      <c r="H220" s="1">
        <v>49280</v>
      </c>
      <c r="I220" s="6">
        <v>5052.3999999999996</v>
      </c>
    </row>
    <row r="221" spans="1:9" x14ac:dyDescent="0.25">
      <c r="A221" s="5" t="s">
        <v>8</v>
      </c>
      <c r="B221" s="1" t="s">
        <v>5</v>
      </c>
      <c r="C221" s="1" t="s">
        <v>9</v>
      </c>
      <c r="D221" s="1" t="s">
        <v>21</v>
      </c>
      <c r="E221" s="1">
        <v>7</v>
      </c>
      <c r="F221" s="1">
        <v>15899</v>
      </c>
      <c r="G221" s="4">
        <v>45146</v>
      </c>
      <c r="H221" s="1">
        <v>25262</v>
      </c>
      <c r="I221" s="6">
        <v>3179.8</v>
      </c>
    </row>
    <row r="222" spans="1:9" x14ac:dyDescent="0.25">
      <c r="A222" s="5" t="s">
        <v>24</v>
      </c>
      <c r="B222" s="1" t="s">
        <v>5</v>
      </c>
      <c r="C222" s="1" t="s">
        <v>9</v>
      </c>
      <c r="D222" s="1" t="s">
        <v>7</v>
      </c>
      <c r="E222" s="1">
        <v>3</v>
      </c>
      <c r="F222" s="1">
        <v>49988</v>
      </c>
      <c r="G222" s="4">
        <v>45147</v>
      </c>
      <c r="H222" s="1">
        <v>15899</v>
      </c>
      <c r="I222" s="6">
        <v>9997.6</v>
      </c>
    </row>
    <row r="223" spans="1:9" x14ac:dyDescent="0.25">
      <c r="A223" s="5" t="s">
        <v>25</v>
      </c>
      <c r="B223" s="1" t="s">
        <v>17</v>
      </c>
      <c r="C223" s="1" t="s">
        <v>12</v>
      </c>
      <c r="D223" s="1" t="s">
        <v>19</v>
      </c>
      <c r="E223" s="1">
        <v>8</v>
      </c>
      <c r="F223" s="1">
        <v>16934</v>
      </c>
      <c r="G223" s="4">
        <v>45148</v>
      </c>
      <c r="H223" s="1">
        <v>49988</v>
      </c>
      <c r="I223" s="6">
        <v>3386.8</v>
      </c>
    </row>
    <row r="224" spans="1:9" x14ac:dyDescent="0.25">
      <c r="A224" s="5" t="s">
        <v>25</v>
      </c>
      <c r="B224" s="1" t="s">
        <v>14</v>
      </c>
      <c r="C224" s="1" t="s">
        <v>12</v>
      </c>
      <c r="D224" s="1" t="s">
        <v>3</v>
      </c>
      <c r="E224" s="1">
        <v>7</v>
      </c>
      <c r="F224" s="1">
        <v>39197</v>
      </c>
      <c r="G224" s="4">
        <v>45149</v>
      </c>
      <c r="H224" s="1">
        <v>16934</v>
      </c>
      <c r="I224" s="6">
        <v>7839.4</v>
      </c>
    </row>
    <row r="225" spans="1:9" x14ac:dyDescent="0.25">
      <c r="A225" s="5" t="s">
        <v>22</v>
      </c>
      <c r="B225" s="1" t="s">
        <v>1</v>
      </c>
      <c r="C225" s="1" t="s">
        <v>6</v>
      </c>
      <c r="D225" s="1" t="s">
        <v>21</v>
      </c>
      <c r="E225" s="1">
        <v>8</v>
      </c>
      <c r="F225" s="1">
        <v>42844</v>
      </c>
      <c r="G225" s="4">
        <v>45150</v>
      </c>
      <c r="H225" s="1">
        <v>39197</v>
      </c>
      <c r="I225" s="6">
        <v>8568.7999999999993</v>
      </c>
    </row>
    <row r="226" spans="1:9" x14ac:dyDescent="0.25">
      <c r="A226" s="5" t="s">
        <v>0</v>
      </c>
      <c r="B226" s="1" t="s">
        <v>5</v>
      </c>
      <c r="C226" s="1" t="s">
        <v>2</v>
      </c>
      <c r="D226" s="1" t="s">
        <v>23</v>
      </c>
      <c r="E226" s="1">
        <v>6</v>
      </c>
      <c r="F226" s="1">
        <v>37332</v>
      </c>
      <c r="G226" s="4">
        <v>45151</v>
      </c>
      <c r="H226" s="1">
        <v>42844</v>
      </c>
      <c r="I226" s="6">
        <v>7466.4</v>
      </c>
    </row>
    <row r="227" spans="1:9" x14ac:dyDescent="0.25">
      <c r="A227" s="5" t="s">
        <v>15</v>
      </c>
      <c r="B227" s="1" t="s">
        <v>5</v>
      </c>
      <c r="C227" s="1" t="s">
        <v>12</v>
      </c>
      <c r="D227" s="1" t="s">
        <v>18</v>
      </c>
      <c r="E227" s="1">
        <v>9</v>
      </c>
      <c r="F227" s="1">
        <v>35157</v>
      </c>
      <c r="G227" s="4">
        <v>45152</v>
      </c>
      <c r="H227" s="1">
        <v>37332</v>
      </c>
      <c r="I227" s="6">
        <v>7031.4</v>
      </c>
    </row>
    <row r="228" spans="1:9" x14ac:dyDescent="0.25">
      <c r="A228" s="5" t="s">
        <v>16</v>
      </c>
      <c r="B228" s="1" t="s">
        <v>5</v>
      </c>
      <c r="C228" s="1" t="s">
        <v>6</v>
      </c>
      <c r="D228" s="1" t="s">
        <v>7</v>
      </c>
      <c r="E228" s="1">
        <v>5</v>
      </c>
      <c r="F228" s="1">
        <v>12593</v>
      </c>
      <c r="G228" s="4">
        <v>45153</v>
      </c>
      <c r="H228" s="1">
        <v>35157</v>
      </c>
      <c r="I228" s="6">
        <v>2518.6</v>
      </c>
    </row>
    <row r="229" spans="1:9" x14ac:dyDescent="0.25">
      <c r="A229" s="5" t="s">
        <v>0</v>
      </c>
      <c r="B229" s="1" t="s">
        <v>17</v>
      </c>
      <c r="C229" s="1" t="s">
        <v>6</v>
      </c>
      <c r="D229" s="1" t="s">
        <v>3</v>
      </c>
      <c r="E229" s="1">
        <v>3</v>
      </c>
      <c r="F229" s="1">
        <v>41042</v>
      </c>
      <c r="G229" s="4">
        <v>45154</v>
      </c>
      <c r="H229" s="1">
        <v>12593</v>
      </c>
      <c r="I229" s="6">
        <v>8208.4</v>
      </c>
    </row>
    <row r="230" spans="1:9" x14ac:dyDescent="0.25">
      <c r="A230" s="5" t="s">
        <v>15</v>
      </c>
      <c r="B230" s="1" t="s">
        <v>5</v>
      </c>
      <c r="C230" s="1" t="s">
        <v>2</v>
      </c>
      <c r="D230" s="1" t="s">
        <v>13</v>
      </c>
      <c r="E230" s="1">
        <v>3</v>
      </c>
      <c r="F230" s="1">
        <v>18320</v>
      </c>
      <c r="G230" s="4">
        <v>45155</v>
      </c>
      <c r="H230" s="1">
        <v>41042</v>
      </c>
      <c r="I230" s="6">
        <v>3664</v>
      </c>
    </row>
    <row r="231" spans="1:9" x14ac:dyDescent="0.25">
      <c r="A231" s="5" t="s">
        <v>25</v>
      </c>
      <c r="B231" s="1" t="s">
        <v>5</v>
      </c>
      <c r="C231" s="1" t="s">
        <v>9</v>
      </c>
      <c r="D231" s="1" t="s">
        <v>3</v>
      </c>
      <c r="E231" s="1">
        <v>1</v>
      </c>
      <c r="F231" s="1">
        <v>28376</v>
      </c>
      <c r="G231" s="4">
        <v>45156</v>
      </c>
      <c r="H231" s="1">
        <v>18320</v>
      </c>
      <c r="I231" s="6">
        <v>5675.2</v>
      </c>
    </row>
    <row r="232" spans="1:9" x14ac:dyDescent="0.25">
      <c r="A232" s="5" t="s">
        <v>4</v>
      </c>
      <c r="B232" s="1" t="s">
        <v>5</v>
      </c>
      <c r="C232" s="1" t="s">
        <v>12</v>
      </c>
      <c r="D232" s="1" t="s">
        <v>19</v>
      </c>
      <c r="E232" s="1">
        <v>8</v>
      </c>
      <c r="F232" s="1">
        <v>44513</v>
      </c>
      <c r="G232" s="4">
        <v>45157</v>
      </c>
      <c r="H232" s="1">
        <v>28376</v>
      </c>
      <c r="I232" s="6">
        <v>8902.6</v>
      </c>
    </row>
    <row r="233" spans="1:9" x14ac:dyDescent="0.25">
      <c r="A233" s="5" t="s">
        <v>24</v>
      </c>
      <c r="B233" s="1" t="s">
        <v>14</v>
      </c>
      <c r="C233" s="1" t="s">
        <v>2</v>
      </c>
      <c r="D233" s="1" t="s">
        <v>13</v>
      </c>
      <c r="E233" s="1">
        <v>2</v>
      </c>
      <c r="F233" s="1">
        <v>15199</v>
      </c>
      <c r="G233" s="4">
        <v>45158</v>
      </c>
      <c r="H233" s="1">
        <v>44513</v>
      </c>
      <c r="I233" s="6">
        <v>3039.8</v>
      </c>
    </row>
    <row r="234" spans="1:9" x14ac:dyDescent="0.25">
      <c r="A234" s="5" t="s">
        <v>22</v>
      </c>
      <c r="B234" s="1" t="s">
        <v>17</v>
      </c>
      <c r="C234" s="1" t="s">
        <v>12</v>
      </c>
      <c r="D234" s="1" t="s">
        <v>19</v>
      </c>
      <c r="E234" s="1">
        <v>3</v>
      </c>
      <c r="F234" s="1">
        <v>16876</v>
      </c>
      <c r="G234" s="4">
        <v>45159</v>
      </c>
      <c r="H234" s="1">
        <v>15199</v>
      </c>
      <c r="I234" s="6">
        <v>3375.2</v>
      </c>
    </row>
    <row r="235" spans="1:9" x14ac:dyDescent="0.25">
      <c r="A235" s="5" t="s">
        <v>24</v>
      </c>
      <c r="B235" s="1" t="s">
        <v>5</v>
      </c>
      <c r="C235" s="1" t="s">
        <v>6</v>
      </c>
      <c r="D235" s="1" t="s">
        <v>23</v>
      </c>
      <c r="E235" s="1">
        <v>8</v>
      </c>
      <c r="F235" s="1">
        <v>9245</v>
      </c>
      <c r="G235" s="4">
        <v>45160</v>
      </c>
      <c r="H235" s="1">
        <v>16876</v>
      </c>
      <c r="I235" s="6">
        <v>1849</v>
      </c>
    </row>
    <row r="236" spans="1:9" x14ac:dyDescent="0.25">
      <c r="A236" s="5" t="s">
        <v>11</v>
      </c>
      <c r="B236" s="1" t="s">
        <v>1</v>
      </c>
      <c r="C236" s="1" t="s">
        <v>6</v>
      </c>
      <c r="D236" s="1" t="s">
        <v>18</v>
      </c>
      <c r="E236" s="1">
        <v>8</v>
      </c>
      <c r="F236" s="1">
        <v>8214</v>
      </c>
      <c r="G236" s="4">
        <v>45161</v>
      </c>
      <c r="H236" s="1">
        <v>9245</v>
      </c>
      <c r="I236" s="6">
        <v>1642.8</v>
      </c>
    </row>
    <row r="237" spans="1:9" x14ac:dyDescent="0.25">
      <c r="A237" s="5" t="s">
        <v>11</v>
      </c>
      <c r="B237" s="1" t="s">
        <v>1</v>
      </c>
      <c r="C237" s="1" t="s">
        <v>9</v>
      </c>
      <c r="D237" s="1" t="s">
        <v>23</v>
      </c>
      <c r="E237" s="1">
        <v>4</v>
      </c>
      <c r="F237" s="1">
        <v>1726</v>
      </c>
      <c r="G237" s="4">
        <v>45162</v>
      </c>
      <c r="H237" s="1">
        <v>8214</v>
      </c>
      <c r="I237" s="6">
        <v>345.2</v>
      </c>
    </row>
    <row r="238" spans="1:9" x14ac:dyDescent="0.25">
      <c r="A238" s="5" t="s">
        <v>0</v>
      </c>
      <c r="B238" s="1" t="s">
        <v>1</v>
      </c>
      <c r="C238" s="1" t="s">
        <v>6</v>
      </c>
      <c r="D238" s="1" t="s">
        <v>21</v>
      </c>
      <c r="E238" s="1">
        <v>4</v>
      </c>
      <c r="F238" s="1">
        <v>47600</v>
      </c>
      <c r="G238" s="4">
        <v>45163</v>
      </c>
      <c r="H238" s="1">
        <v>1726</v>
      </c>
      <c r="I238" s="6">
        <v>9520</v>
      </c>
    </row>
    <row r="239" spans="1:9" x14ac:dyDescent="0.25">
      <c r="A239" s="5" t="s">
        <v>25</v>
      </c>
      <c r="B239" s="1" t="s">
        <v>17</v>
      </c>
      <c r="C239" s="1" t="s">
        <v>6</v>
      </c>
      <c r="D239" s="1" t="s">
        <v>21</v>
      </c>
      <c r="E239" s="1">
        <v>5</v>
      </c>
      <c r="F239" s="1">
        <v>12362</v>
      </c>
      <c r="G239" s="4">
        <v>45164</v>
      </c>
      <c r="H239" s="1">
        <v>47600</v>
      </c>
      <c r="I239" s="6">
        <v>2472.4</v>
      </c>
    </row>
    <row r="240" spans="1:9" x14ac:dyDescent="0.25">
      <c r="A240" s="5" t="s">
        <v>25</v>
      </c>
      <c r="B240" s="1" t="s">
        <v>17</v>
      </c>
      <c r="C240" s="1" t="s">
        <v>2</v>
      </c>
      <c r="D240" s="1" t="s">
        <v>23</v>
      </c>
      <c r="E240" s="1">
        <v>6</v>
      </c>
      <c r="F240" s="1">
        <v>19297</v>
      </c>
      <c r="G240" s="4">
        <v>45165</v>
      </c>
      <c r="H240" s="1">
        <v>12362</v>
      </c>
      <c r="I240" s="6">
        <v>3859.4</v>
      </c>
    </row>
    <row r="241" spans="1:9" x14ac:dyDescent="0.25">
      <c r="A241" s="5" t="s">
        <v>16</v>
      </c>
      <c r="B241" s="1" t="s">
        <v>1</v>
      </c>
      <c r="C241" s="1" t="s">
        <v>12</v>
      </c>
      <c r="D241" s="1" t="s">
        <v>18</v>
      </c>
      <c r="E241" s="1">
        <v>5</v>
      </c>
      <c r="F241" s="1">
        <v>31448</v>
      </c>
      <c r="G241" s="4">
        <v>45166</v>
      </c>
      <c r="H241" s="1">
        <v>19297</v>
      </c>
      <c r="I241" s="6">
        <v>6289.6</v>
      </c>
    </row>
    <row r="242" spans="1:9" x14ac:dyDescent="0.25">
      <c r="A242" s="5" t="s">
        <v>16</v>
      </c>
      <c r="B242" s="1" t="s">
        <v>5</v>
      </c>
      <c r="C242" s="1" t="s">
        <v>12</v>
      </c>
      <c r="D242" s="1" t="s">
        <v>23</v>
      </c>
      <c r="E242" s="1">
        <v>7</v>
      </c>
      <c r="F242" s="1">
        <v>27172</v>
      </c>
      <c r="G242" s="4">
        <v>45167</v>
      </c>
      <c r="H242" s="1">
        <v>31448</v>
      </c>
      <c r="I242" s="6">
        <v>5434.4</v>
      </c>
    </row>
    <row r="243" spans="1:9" x14ac:dyDescent="0.25">
      <c r="A243" s="5" t="s">
        <v>16</v>
      </c>
      <c r="B243" s="1" t="s">
        <v>17</v>
      </c>
      <c r="C243" s="1" t="s">
        <v>2</v>
      </c>
      <c r="D243" s="1" t="s">
        <v>18</v>
      </c>
      <c r="E243" s="1">
        <v>2</v>
      </c>
      <c r="F243" s="1">
        <v>43874</v>
      </c>
      <c r="G243" s="4">
        <v>45168</v>
      </c>
      <c r="H243" s="1">
        <v>27172</v>
      </c>
      <c r="I243" s="6">
        <v>8774.7999999999993</v>
      </c>
    </row>
    <row r="244" spans="1:9" x14ac:dyDescent="0.25">
      <c r="A244" s="5" t="s">
        <v>4</v>
      </c>
      <c r="B244" s="1" t="s">
        <v>1</v>
      </c>
      <c r="C244" s="1" t="s">
        <v>9</v>
      </c>
      <c r="D244" s="1" t="s">
        <v>18</v>
      </c>
      <c r="E244" s="1">
        <v>7</v>
      </c>
      <c r="F244" s="1">
        <v>8657</v>
      </c>
      <c r="G244" s="4">
        <v>45169</v>
      </c>
      <c r="H244" s="1">
        <v>43874</v>
      </c>
      <c r="I244" s="6">
        <v>1731.4</v>
      </c>
    </row>
    <row r="245" spans="1:9" x14ac:dyDescent="0.25">
      <c r="A245" s="5" t="s">
        <v>8</v>
      </c>
      <c r="B245" s="1" t="s">
        <v>1</v>
      </c>
      <c r="C245" s="1" t="s">
        <v>12</v>
      </c>
      <c r="D245" s="1" t="s">
        <v>10</v>
      </c>
      <c r="E245" s="1">
        <v>7</v>
      </c>
      <c r="F245" s="1">
        <v>19850</v>
      </c>
      <c r="G245" s="4">
        <v>45170</v>
      </c>
      <c r="H245" s="1">
        <v>8657</v>
      </c>
      <c r="I245" s="6">
        <v>3970</v>
      </c>
    </row>
    <row r="246" spans="1:9" x14ac:dyDescent="0.25">
      <c r="A246" s="5" t="s">
        <v>20</v>
      </c>
      <c r="B246" s="1" t="s">
        <v>5</v>
      </c>
      <c r="C246" s="1" t="s">
        <v>6</v>
      </c>
      <c r="D246" s="1" t="s">
        <v>13</v>
      </c>
      <c r="E246" s="1">
        <v>1</v>
      </c>
      <c r="F246" s="1">
        <v>26425</v>
      </c>
      <c r="G246" s="4">
        <v>45171</v>
      </c>
      <c r="H246" s="1">
        <v>19850</v>
      </c>
      <c r="I246" s="6">
        <v>5285</v>
      </c>
    </row>
    <row r="247" spans="1:9" x14ac:dyDescent="0.25">
      <c r="A247" s="5" t="s">
        <v>8</v>
      </c>
      <c r="B247" s="1" t="s">
        <v>14</v>
      </c>
      <c r="C247" s="1" t="s">
        <v>12</v>
      </c>
      <c r="D247" s="1" t="s">
        <v>7</v>
      </c>
      <c r="E247" s="1">
        <v>7</v>
      </c>
      <c r="F247" s="1">
        <v>27685</v>
      </c>
      <c r="G247" s="4">
        <v>45172</v>
      </c>
      <c r="H247" s="1">
        <v>26425</v>
      </c>
      <c r="I247" s="6">
        <v>5537</v>
      </c>
    </row>
    <row r="248" spans="1:9" x14ac:dyDescent="0.25">
      <c r="A248" s="5" t="s">
        <v>24</v>
      </c>
      <c r="B248" s="1" t="s">
        <v>17</v>
      </c>
      <c r="C248" s="1" t="s">
        <v>6</v>
      </c>
      <c r="D248" s="1" t="s">
        <v>18</v>
      </c>
      <c r="E248" s="1">
        <v>5</v>
      </c>
      <c r="F248" s="1">
        <v>48319</v>
      </c>
      <c r="G248" s="4">
        <v>45173</v>
      </c>
      <c r="H248" s="1">
        <v>27685</v>
      </c>
      <c r="I248" s="6">
        <v>9663.7999999999993</v>
      </c>
    </row>
    <row r="249" spans="1:9" x14ac:dyDescent="0.25">
      <c r="A249" s="5" t="s">
        <v>8</v>
      </c>
      <c r="B249" s="1" t="s">
        <v>5</v>
      </c>
      <c r="C249" s="1" t="s">
        <v>9</v>
      </c>
      <c r="D249" s="1" t="s">
        <v>19</v>
      </c>
      <c r="E249" s="1">
        <v>3</v>
      </c>
      <c r="F249" s="1">
        <v>25578</v>
      </c>
      <c r="G249" s="4">
        <v>45174</v>
      </c>
      <c r="H249" s="1">
        <v>48319</v>
      </c>
      <c r="I249" s="6">
        <v>5115.6000000000004</v>
      </c>
    </row>
    <row r="250" spans="1:9" x14ac:dyDescent="0.25">
      <c r="A250" s="5" t="s">
        <v>4</v>
      </c>
      <c r="B250" s="1" t="s">
        <v>1</v>
      </c>
      <c r="C250" s="1" t="s">
        <v>2</v>
      </c>
      <c r="D250" s="1" t="s">
        <v>18</v>
      </c>
      <c r="E250" s="1">
        <v>3</v>
      </c>
      <c r="F250" s="1">
        <v>29831</v>
      </c>
      <c r="G250" s="4">
        <v>45175</v>
      </c>
      <c r="H250" s="1">
        <v>25578</v>
      </c>
      <c r="I250" s="6">
        <v>5966.2</v>
      </c>
    </row>
    <row r="251" spans="1:9" x14ac:dyDescent="0.25">
      <c r="A251" s="5" t="s">
        <v>24</v>
      </c>
      <c r="B251" s="1" t="s">
        <v>1</v>
      </c>
      <c r="C251" s="1" t="s">
        <v>12</v>
      </c>
      <c r="D251" s="1" t="s">
        <v>18</v>
      </c>
      <c r="E251" s="1">
        <v>4</v>
      </c>
      <c r="F251" s="1">
        <v>8906</v>
      </c>
      <c r="G251" s="4">
        <v>45176</v>
      </c>
      <c r="H251" s="1">
        <v>29831</v>
      </c>
      <c r="I251" s="6">
        <v>1781.2</v>
      </c>
    </row>
    <row r="252" spans="1:9" x14ac:dyDescent="0.25">
      <c r="A252" s="5" t="s">
        <v>8</v>
      </c>
      <c r="B252" s="1" t="s">
        <v>5</v>
      </c>
      <c r="C252" s="1" t="s">
        <v>2</v>
      </c>
      <c r="D252" s="1" t="s">
        <v>18</v>
      </c>
      <c r="E252" s="1">
        <v>2</v>
      </c>
      <c r="F252" s="1">
        <v>8287</v>
      </c>
      <c r="G252" s="4">
        <v>45177</v>
      </c>
      <c r="H252" s="1">
        <v>8906</v>
      </c>
      <c r="I252" s="6">
        <v>1657.4</v>
      </c>
    </row>
    <row r="253" spans="1:9" x14ac:dyDescent="0.25">
      <c r="A253" s="5" t="s">
        <v>4</v>
      </c>
      <c r="B253" s="1" t="s">
        <v>17</v>
      </c>
      <c r="C253" s="1" t="s">
        <v>12</v>
      </c>
      <c r="D253" s="1" t="s">
        <v>10</v>
      </c>
      <c r="E253" s="1">
        <v>2</v>
      </c>
      <c r="F253" s="1">
        <v>34660</v>
      </c>
      <c r="G253" s="4">
        <v>45178</v>
      </c>
      <c r="H253" s="1">
        <v>8287</v>
      </c>
      <c r="I253" s="6">
        <v>6932</v>
      </c>
    </row>
    <row r="254" spans="1:9" x14ac:dyDescent="0.25">
      <c r="A254" s="5" t="s">
        <v>20</v>
      </c>
      <c r="B254" s="1" t="s">
        <v>14</v>
      </c>
      <c r="C254" s="1" t="s">
        <v>6</v>
      </c>
      <c r="D254" s="1" t="s">
        <v>13</v>
      </c>
      <c r="E254" s="1">
        <v>1</v>
      </c>
      <c r="F254" s="1">
        <v>11222</v>
      </c>
      <c r="G254" s="4">
        <v>45179</v>
      </c>
      <c r="H254" s="1">
        <v>34660</v>
      </c>
      <c r="I254" s="6">
        <v>2244.4</v>
      </c>
    </row>
    <row r="255" spans="1:9" x14ac:dyDescent="0.25">
      <c r="A255" s="5" t="s">
        <v>8</v>
      </c>
      <c r="B255" s="1" t="s">
        <v>14</v>
      </c>
      <c r="C255" s="1" t="s">
        <v>2</v>
      </c>
      <c r="D255" s="1" t="s">
        <v>10</v>
      </c>
      <c r="E255" s="1">
        <v>5</v>
      </c>
      <c r="F255" s="1">
        <v>38443</v>
      </c>
      <c r="G255" s="4">
        <v>45180</v>
      </c>
      <c r="H255" s="1">
        <v>11222</v>
      </c>
      <c r="I255" s="6">
        <v>7688.6</v>
      </c>
    </row>
    <row r="256" spans="1:9" x14ac:dyDescent="0.25">
      <c r="A256" s="5" t="s">
        <v>4</v>
      </c>
      <c r="B256" s="1" t="s">
        <v>1</v>
      </c>
      <c r="C256" s="1" t="s">
        <v>12</v>
      </c>
      <c r="D256" s="1" t="s">
        <v>21</v>
      </c>
      <c r="E256" s="1">
        <v>4</v>
      </c>
      <c r="F256" s="1">
        <v>35701</v>
      </c>
      <c r="G256" s="4">
        <v>45181</v>
      </c>
      <c r="H256" s="1">
        <v>38443</v>
      </c>
      <c r="I256" s="6">
        <v>7140.2</v>
      </c>
    </row>
    <row r="257" spans="1:9" x14ac:dyDescent="0.25">
      <c r="A257" s="5" t="s">
        <v>16</v>
      </c>
      <c r="B257" s="1" t="s">
        <v>17</v>
      </c>
      <c r="C257" s="1" t="s">
        <v>6</v>
      </c>
      <c r="D257" s="1" t="s">
        <v>10</v>
      </c>
      <c r="E257" s="1">
        <v>2</v>
      </c>
      <c r="F257" s="1">
        <v>18764</v>
      </c>
      <c r="G257" s="4">
        <v>45182</v>
      </c>
      <c r="H257" s="1">
        <v>35701</v>
      </c>
      <c r="I257" s="6">
        <v>3752.8</v>
      </c>
    </row>
    <row r="258" spans="1:9" x14ac:dyDescent="0.25">
      <c r="A258" s="5" t="s">
        <v>25</v>
      </c>
      <c r="B258" s="1" t="s">
        <v>14</v>
      </c>
      <c r="C258" s="1" t="s">
        <v>2</v>
      </c>
      <c r="D258" s="1" t="s">
        <v>19</v>
      </c>
      <c r="E258" s="1">
        <v>3</v>
      </c>
      <c r="F258" s="1">
        <v>45641</v>
      </c>
      <c r="G258" s="4">
        <v>45183</v>
      </c>
      <c r="H258" s="1">
        <v>18764</v>
      </c>
      <c r="I258" s="6">
        <v>9128.2000000000007</v>
      </c>
    </row>
    <row r="259" spans="1:9" x14ac:dyDescent="0.25">
      <c r="A259" s="5" t="s">
        <v>16</v>
      </c>
      <c r="B259" s="1" t="s">
        <v>17</v>
      </c>
      <c r="C259" s="1" t="s">
        <v>2</v>
      </c>
      <c r="D259" s="1" t="s">
        <v>19</v>
      </c>
      <c r="E259" s="1">
        <v>7</v>
      </c>
      <c r="F259" s="1">
        <v>18674</v>
      </c>
      <c r="G259" s="4">
        <v>45184</v>
      </c>
      <c r="H259" s="1">
        <v>45641</v>
      </c>
      <c r="I259" s="6">
        <v>3734.8</v>
      </c>
    </row>
    <row r="260" spans="1:9" x14ac:dyDescent="0.25">
      <c r="A260" s="5" t="s">
        <v>25</v>
      </c>
      <c r="B260" s="1" t="s">
        <v>17</v>
      </c>
      <c r="C260" s="1" t="s">
        <v>12</v>
      </c>
      <c r="D260" s="1" t="s">
        <v>10</v>
      </c>
      <c r="E260" s="1">
        <v>7</v>
      </c>
      <c r="F260" s="1">
        <v>19024</v>
      </c>
      <c r="G260" s="4">
        <v>45185</v>
      </c>
      <c r="H260" s="1">
        <v>18674</v>
      </c>
      <c r="I260" s="6">
        <v>3804.8</v>
      </c>
    </row>
    <row r="261" spans="1:9" x14ac:dyDescent="0.25">
      <c r="A261" s="5" t="s">
        <v>22</v>
      </c>
      <c r="B261" s="1" t="s">
        <v>1</v>
      </c>
      <c r="C261" s="1" t="s">
        <v>12</v>
      </c>
      <c r="D261" s="1" t="s">
        <v>13</v>
      </c>
      <c r="E261" s="1">
        <v>4</v>
      </c>
      <c r="F261" s="1">
        <v>47007</v>
      </c>
      <c r="G261" s="4">
        <v>45186</v>
      </c>
      <c r="H261" s="1">
        <v>19024</v>
      </c>
      <c r="I261" s="6">
        <v>9401.4</v>
      </c>
    </row>
    <row r="262" spans="1:9" x14ac:dyDescent="0.25">
      <c r="A262" s="5" t="s">
        <v>22</v>
      </c>
      <c r="B262" s="1" t="s">
        <v>14</v>
      </c>
      <c r="C262" s="1" t="s">
        <v>12</v>
      </c>
      <c r="D262" s="1" t="s">
        <v>23</v>
      </c>
      <c r="E262" s="1">
        <v>5</v>
      </c>
      <c r="F262" s="1">
        <v>24874</v>
      </c>
      <c r="G262" s="4">
        <v>45187</v>
      </c>
      <c r="H262" s="1">
        <v>47007</v>
      </c>
      <c r="I262" s="6">
        <v>4974.8</v>
      </c>
    </row>
    <row r="263" spans="1:9" x14ac:dyDescent="0.25">
      <c r="A263" s="5" t="s">
        <v>22</v>
      </c>
      <c r="B263" s="1" t="s">
        <v>5</v>
      </c>
      <c r="C263" s="1" t="s">
        <v>6</v>
      </c>
      <c r="D263" s="1" t="s">
        <v>7</v>
      </c>
      <c r="E263" s="1">
        <v>5</v>
      </c>
      <c r="F263" s="1">
        <v>44642</v>
      </c>
      <c r="G263" s="4">
        <v>45188</v>
      </c>
      <c r="H263" s="1">
        <v>24874</v>
      </c>
      <c r="I263" s="6">
        <v>8928.4</v>
      </c>
    </row>
    <row r="264" spans="1:9" x14ac:dyDescent="0.25">
      <c r="A264" s="5" t="s">
        <v>20</v>
      </c>
      <c r="B264" s="1" t="s">
        <v>1</v>
      </c>
      <c r="C264" s="1" t="s">
        <v>12</v>
      </c>
      <c r="D264" s="1" t="s">
        <v>13</v>
      </c>
      <c r="E264" s="1">
        <v>6</v>
      </c>
      <c r="F264" s="1">
        <v>33284</v>
      </c>
      <c r="G264" s="4">
        <v>45189</v>
      </c>
      <c r="H264" s="1">
        <v>44642</v>
      </c>
      <c r="I264" s="6">
        <v>6656.8</v>
      </c>
    </row>
    <row r="265" spans="1:9" x14ac:dyDescent="0.25">
      <c r="A265" s="5" t="s">
        <v>16</v>
      </c>
      <c r="B265" s="1" t="s">
        <v>14</v>
      </c>
      <c r="C265" s="1" t="s">
        <v>2</v>
      </c>
      <c r="D265" s="1" t="s">
        <v>10</v>
      </c>
      <c r="E265" s="1">
        <v>9</v>
      </c>
      <c r="F265" s="1">
        <v>18602</v>
      </c>
      <c r="G265" s="4">
        <v>45190</v>
      </c>
      <c r="H265" s="1">
        <v>33284</v>
      </c>
      <c r="I265" s="6">
        <v>3720.4</v>
      </c>
    </row>
    <row r="266" spans="1:9" x14ac:dyDescent="0.25">
      <c r="A266" s="5" t="s">
        <v>25</v>
      </c>
      <c r="B266" s="1" t="s">
        <v>14</v>
      </c>
      <c r="C266" s="1" t="s">
        <v>2</v>
      </c>
      <c r="D266" s="1" t="s">
        <v>18</v>
      </c>
      <c r="E266" s="1">
        <v>2</v>
      </c>
      <c r="F266" s="1">
        <v>38784</v>
      </c>
      <c r="G266" s="4">
        <v>45191</v>
      </c>
      <c r="H266" s="1">
        <v>18602</v>
      </c>
      <c r="I266" s="6">
        <v>7756.8</v>
      </c>
    </row>
    <row r="267" spans="1:9" x14ac:dyDescent="0.25">
      <c r="A267" s="5" t="s">
        <v>4</v>
      </c>
      <c r="B267" s="1" t="s">
        <v>14</v>
      </c>
      <c r="C267" s="1" t="s">
        <v>12</v>
      </c>
      <c r="D267" s="1" t="s">
        <v>3</v>
      </c>
      <c r="E267" s="1">
        <v>5</v>
      </c>
      <c r="F267" s="1">
        <v>24265</v>
      </c>
      <c r="G267" s="4">
        <v>45192</v>
      </c>
      <c r="H267" s="1">
        <v>38784</v>
      </c>
      <c r="I267" s="6">
        <v>4853</v>
      </c>
    </row>
    <row r="268" spans="1:9" x14ac:dyDescent="0.25">
      <c r="A268" s="5" t="s">
        <v>24</v>
      </c>
      <c r="B268" s="1" t="s">
        <v>14</v>
      </c>
      <c r="C268" s="1" t="s">
        <v>12</v>
      </c>
      <c r="D268" s="1" t="s">
        <v>7</v>
      </c>
      <c r="E268" s="1">
        <v>3</v>
      </c>
      <c r="F268" s="1">
        <v>26931</v>
      </c>
      <c r="G268" s="4">
        <v>45193</v>
      </c>
      <c r="H268" s="1">
        <v>24265</v>
      </c>
      <c r="I268" s="6">
        <v>5386.2</v>
      </c>
    </row>
    <row r="269" spans="1:9" x14ac:dyDescent="0.25">
      <c r="A269" s="5" t="s">
        <v>4</v>
      </c>
      <c r="B269" s="1" t="s">
        <v>14</v>
      </c>
      <c r="C269" s="1" t="s">
        <v>9</v>
      </c>
      <c r="D269" s="1" t="s">
        <v>7</v>
      </c>
      <c r="E269" s="1">
        <v>4</v>
      </c>
      <c r="F269" s="1">
        <v>29841</v>
      </c>
      <c r="G269" s="4">
        <v>45194</v>
      </c>
      <c r="H269" s="1">
        <v>26931</v>
      </c>
      <c r="I269" s="6">
        <v>5968.2</v>
      </c>
    </row>
    <row r="270" spans="1:9" x14ac:dyDescent="0.25">
      <c r="A270" s="5" t="s">
        <v>24</v>
      </c>
      <c r="B270" s="1" t="s">
        <v>17</v>
      </c>
      <c r="C270" s="1" t="s">
        <v>2</v>
      </c>
      <c r="D270" s="1" t="s">
        <v>19</v>
      </c>
      <c r="E270" s="1">
        <v>6</v>
      </c>
      <c r="F270" s="1">
        <v>30192</v>
      </c>
      <c r="G270" s="4">
        <v>45195</v>
      </c>
      <c r="H270" s="1">
        <v>29841</v>
      </c>
      <c r="I270" s="6">
        <v>6038.4</v>
      </c>
    </row>
    <row r="271" spans="1:9" x14ac:dyDescent="0.25">
      <c r="A271" s="5" t="s">
        <v>11</v>
      </c>
      <c r="B271" s="1" t="s">
        <v>1</v>
      </c>
      <c r="C271" s="1" t="s">
        <v>6</v>
      </c>
      <c r="D271" s="1" t="s">
        <v>7</v>
      </c>
      <c r="E271" s="1">
        <v>8</v>
      </c>
      <c r="F271" s="1">
        <v>47542</v>
      </c>
      <c r="G271" s="4">
        <v>45196</v>
      </c>
      <c r="H271" s="1">
        <v>30192</v>
      </c>
      <c r="I271" s="6">
        <v>9508.4</v>
      </c>
    </row>
    <row r="272" spans="1:9" x14ac:dyDescent="0.25">
      <c r="A272" s="5" t="s">
        <v>4</v>
      </c>
      <c r="B272" s="1" t="s">
        <v>17</v>
      </c>
      <c r="C272" s="1" t="s">
        <v>9</v>
      </c>
      <c r="D272" s="1" t="s">
        <v>10</v>
      </c>
      <c r="E272" s="1">
        <v>1</v>
      </c>
      <c r="F272" s="1">
        <v>43520</v>
      </c>
      <c r="G272" s="4">
        <v>45197</v>
      </c>
      <c r="H272" s="1">
        <v>47542</v>
      </c>
      <c r="I272" s="6">
        <v>8704</v>
      </c>
    </row>
    <row r="273" spans="1:9" x14ac:dyDescent="0.25">
      <c r="A273" s="5" t="s">
        <v>8</v>
      </c>
      <c r="B273" s="1" t="s">
        <v>5</v>
      </c>
      <c r="C273" s="1" t="s">
        <v>12</v>
      </c>
      <c r="D273" s="1" t="s">
        <v>18</v>
      </c>
      <c r="E273" s="1">
        <v>8</v>
      </c>
      <c r="F273" s="1">
        <v>16585</v>
      </c>
      <c r="G273" s="4">
        <v>45198</v>
      </c>
      <c r="H273" s="1">
        <v>43520</v>
      </c>
      <c r="I273" s="6">
        <v>3317</v>
      </c>
    </row>
    <row r="274" spans="1:9" x14ac:dyDescent="0.25">
      <c r="A274" s="5" t="s">
        <v>8</v>
      </c>
      <c r="B274" s="1" t="s">
        <v>14</v>
      </c>
      <c r="C274" s="1" t="s">
        <v>12</v>
      </c>
      <c r="D274" s="1" t="s">
        <v>18</v>
      </c>
      <c r="E274" s="1">
        <v>7</v>
      </c>
      <c r="F274" s="1">
        <v>26559</v>
      </c>
      <c r="G274" s="4">
        <v>45199</v>
      </c>
      <c r="H274" s="1">
        <v>16585</v>
      </c>
      <c r="I274" s="6">
        <v>5311.8</v>
      </c>
    </row>
    <row r="275" spans="1:9" x14ac:dyDescent="0.25">
      <c r="A275" s="5" t="s">
        <v>0</v>
      </c>
      <c r="B275" s="1" t="s">
        <v>1</v>
      </c>
      <c r="C275" s="1" t="s">
        <v>2</v>
      </c>
      <c r="D275" s="1" t="s">
        <v>21</v>
      </c>
      <c r="E275" s="1">
        <v>1</v>
      </c>
      <c r="F275" s="1">
        <v>41059</v>
      </c>
      <c r="G275" s="4">
        <v>45200</v>
      </c>
      <c r="H275" s="1">
        <v>26559</v>
      </c>
      <c r="I275" s="6">
        <v>8211.7999999999993</v>
      </c>
    </row>
    <row r="276" spans="1:9" x14ac:dyDescent="0.25">
      <c r="A276" s="5" t="s">
        <v>16</v>
      </c>
      <c r="B276" s="1" t="s">
        <v>14</v>
      </c>
      <c r="C276" s="1" t="s">
        <v>12</v>
      </c>
      <c r="D276" s="1" t="s">
        <v>18</v>
      </c>
      <c r="E276" s="1">
        <v>2</v>
      </c>
      <c r="F276" s="1">
        <v>34742</v>
      </c>
      <c r="G276" s="4">
        <v>45201</v>
      </c>
      <c r="H276" s="1">
        <v>41059</v>
      </c>
      <c r="I276" s="6">
        <v>6948.4</v>
      </c>
    </row>
    <row r="277" spans="1:9" x14ac:dyDescent="0.25">
      <c r="A277" s="5" t="s">
        <v>24</v>
      </c>
      <c r="B277" s="1" t="s">
        <v>1</v>
      </c>
      <c r="C277" s="1" t="s">
        <v>6</v>
      </c>
      <c r="D277" s="1" t="s">
        <v>13</v>
      </c>
      <c r="E277" s="1">
        <v>3</v>
      </c>
      <c r="F277" s="1">
        <v>5133</v>
      </c>
      <c r="G277" s="4">
        <v>45202</v>
      </c>
      <c r="H277" s="1">
        <v>34742</v>
      </c>
      <c r="I277" s="6">
        <v>1026.5999999999999</v>
      </c>
    </row>
    <row r="278" spans="1:9" x14ac:dyDescent="0.25">
      <c r="A278" s="5" t="s">
        <v>24</v>
      </c>
      <c r="B278" s="1" t="s">
        <v>17</v>
      </c>
      <c r="C278" s="1" t="s">
        <v>2</v>
      </c>
      <c r="D278" s="1" t="s">
        <v>18</v>
      </c>
      <c r="E278" s="1">
        <v>1</v>
      </c>
      <c r="F278" s="1">
        <v>15663</v>
      </c>
      <c r="G278" s="4">
        <v>45203</v>
      </c>
      <c r="H278" s="1">
        <v>5133</v>
      </c>
      <c r="I278" s="6">
        <v>3132.6</v>
      </c>
    </row>
    <row r="279" spans="1:9" x14ac:dyDescent="0.25">
      <c r="A279" s="5" t="s">
        <v>16</v>
      </c>
      <c r="B279" s="1" t="s">
        <v>1</v>
      </c>
      <c r="C279" s="1" t="s">
        <v>12</v>
      </c>
      <c r="D279" s="1" t="s">
        <v>19</v>
      </c>
      <c r="E279" s="1">
        <v>9</v>
      </c>
      <c r="F279" s="1">
        <v>22754</v>
      </c>
      <c r="G279" s="4">
        <v>45204</v>
      </c>
      <c r="H279" s="1">
        <v>15663</v>
      </c>
      <c r="I279" s="6">
        <v>4550.8</v>
      </c>
    </row>
    <row r="280" spans="1:9" x14ac:dyDescent="0.25">
      <c r="A280" s="5" t="s">
        <v>20</v>
      </c>
      <c r="B280" s="1" t="s">
        <v>5</v>
      </c>
      <c r="C280" s="1" t="s">
        <v>2</v>
      </c>
      <c r="D280" s="1" t="s">
        <v>18</v>
      </c>
      <c r="E280" s="1">
        <v>8</v>
      </c>
      <c r="F280" s="1">
        <v>4972</v>
      </c>
      <c r="G280" s="4">
        <v>45205</v>
      </c>
      <c r="H280" s="1">
        <v>22754</v>
      </c>
      <c r="I280" s="6">
        <v>994.4</v>
      </c>
    </row>
    <row r="281" spans="1:9" x14ac:dyDescent="0.25">
      <c r="A281" s="5" t="s">
        <v>0</v>
      </c>
      <c r="B281" s="1" t="s">
        <v>5</v>
      </c>
      <c r="C281" s="1" t="s">
        <v>12</v>
      </c>
      <c r="D281" s="1" t="s">
        <v>21</v>
      </c>
      <c r="E281" s="1">
        <v>2</v>
      </c>
      <c r="F281" s="1">
        <v>6295</v>
      </c>
      <c r="G281" s="4">
        <v>45206</v>
      </c>
      <c r="H281" s="1">
        <v>4972</v>
      </c>
      <c r="I281" s="6">
        <v>1259</v>
      </c>
    </row>
    <row r="282" spans="1:9" x14ac:dyDescent="0.25">
      <c r="A282" s="5" t="s">
        <v>20</v>
      </c>
      <c r="B282" s="1" t="s">
        <v>1</v>
      </c>
      <c r="C282" s="1" t="s">
        <v>12</v>
      </c>
      <c r="D282" s="1" t="s">
        <v>3</v>
      </c>
      <c r="E282" s="1">
        <v>9</v>
      </c>
      <c r="F282" s="1">
        <v>47681</v>
      </c>
      <c r="G282" s="4">
        <v>45207</v>
      </c>
      <c r="H282" s="1">
        <v>6295</v>
      </c>
      <c r="I282" s="6">
        <v>9536.2000000000007</v>
      </c>
    </row>
    <row r="283" spans="1:9" x14ac:dyDescent="0.25">
      <c r="A283" s="5" t="s">
        <v>20</v>
      </c>
      <c r="B283" s="1" t="s">
        <v>1</v>
      </c>
      <c r="C283" s="1" t="s">
        <v>12</v>
      </c>
      <c r="D283" s="1" t="s">
        <v>10</v>
      </c>
      <c r="E283" s="1">
        <v>7</v>
      </c>
      <c r="F283" s="1">
        <v>42873</v>
      </c>
      <c r="G283" s="4">
        <v>45208</v>
      </c>
      <c r="H283" s="1">
        <v>47681</v>
      </c>
      <c r="I283" s="6">
        <v>8574.6</v>
      </c>
    </row>
    <row r="284" spans="1:9" x14ac:dyDescent="0.25">
      <c r="A284" s="5" t="s">
        <v>20</v>
      </c>
      <c r="B284" s="1" t="s">
        <v>1</v>
      </c>
      <c r="C284" s="1" t="s">
        <v>6</v>
      </c>
      <c r="D284" s="1" t="s">
        <v>19</v>
      </c>
      <c r="E284" s="1">
        <v>9</v>
      </c>
      <c r="F284" s="1">
        <v>30125</v>
      </c>
      <c r="G284" s="4">
        <v>45209</v>
      </c>
      <c r="H284" s="1">
        <v>42873</v>
      </c>
      <c r="I284" s="6">
        <v>6025</v>
      </c>
    </row>
    <row r="285" spans="1:9" x14ac:dyDescent="0.25">
      <c r="A285" s="5" t="s">
        <v>16</v>
      </c>
      <c r="B285" s="1" t="s">
        <v>1</v>
      </c>
      <c r="C285" s="1" t="s">
        <v>6</v>
      </c>
      <c r="D285" s="1" t="s">
        <v>13</v>
      </c>
      <c r="E285" s="1">
        <v>6</v>
      </c>
      <c r="F285" s="1">
        <v>41996</v>
      </c>
      <c r="G285" s="4">
        <v>45210</v>
      </c>
      <c r="H285" s="1">
        <v>30125</v>
      </c>
      <c r="I285" s="6">
        <v>8399.2000000000007</v>
      </c>
    </row>
    <row r="286" spans="1:9" x14ac:dyDescent="0.25">
      <c r="A286" s="5" t="s">
        <v>20</v>
      </c>
      <c r="B286" s="1" t="s">
        <v>5</v>
      </c>
      <c r="C286" s="1" t="s">
        <v>2</v>
      </c>
      <c r="D286" s="1" t="s">
        <v>3</v>
      </c>
      <c r="E286" s="1">
        <v>6</v>
      </c>
      <c r="F286" s="1">
        <v>10903</v>
      </c>
      <c r="G286" s="4">
        <v>45211</v>
      </c>
      <c r="H286" s="1">
        <v>41996</v>
      </c>
      <c r="I286" s="6">
        <v>2180.6</v>
      </c>
    </row>
    <row r="287" spans="1:9" x14ac:dyDescent="0.25">
      <c r="A287" s="5" t="s">
        <v>8</v>
      </c>
      <c r="B287" s="1" t="s">
        <v>14</v>
      </c>
      <c r="C287" s="1" t="s">
        <v>12</v>
      </c>
      <c r="D287" s="1" t="s">
        <v>19</v>
      </c>
      <c r="E287" s="1">
        <v>4</v>
      </c>
      <c r="F287" s="1">
        <v>4020</v>
      </c>
      <c r="G287" s="4">
        <v>45212</v>
      </c>
      <c r="H287" s="1">
        <v>10903</v>
      </c>
      <c r="I287" s="6">
        <v>804</v>
      </c>
    </row>
    <row r="288" spans="1:9" x14ac:dyDescent="0.25">
      <c r="A288" s="5" t="s">
        <v>22</v>
      </c>
      <c r="B288" s="1" t="s">
        <v>1</v>
      </c>
      <c r="C288" s="1" t="s">
        <v>12</v>
      </c>
      <c r="D288" s="1" t="s">
        <v>23</v>
      </c>
      <c r="E288" s="1">
        <v>2</v>
      </c>
      <c r="F288" s="1">
        <v>42755</v>
      </c>
      <c r="G288" s="4">
        <v>45213</v>
      </c>
      <c r="H288" s="1">
        <v>4020</v>
      </c>
      <c r="I288" s="6">
        <v>8551</v>
      </c>
    </row>
    <row r="289" spans="1:9" x14ac:dyDescent="0.25">
      <c r="A289" s="5" t="s">
        <v>11</v>
      </c>
      <c r="B289" s="1" t="s">
        <v>1</v>
      </c>
      <c r="C289" s="1" t="s">
        <v>6</v>
      </c>
      <c r="D289" s="1" t="s">
        <v>7</v>
      </c>
      <c r="E289" s="1">
        <v>7</v>
      </c>
      <c r="F289" s="1">
        <v>21420</v>
      </c>
      <c r="G289" s="4">
        <v>45214</v>
      </c>
      <c r="H289" s="1">
        <v>42755</v>
      </c>
      <c r="I289" s="6">
        <v>4284</v>
      </c>
    </row>
    <row r="290" spans="1:9" x14ac:dyDescent="0.25">
      <c r="A290" s="5" t="s">
        <v>24</v>
      </c>
      <c r="B290" s="1" t="s">
        <v>5</v>
      </c>
      <c r="C290" s="1" t="s">
        <v>12</v>
      </c>
      <c r="D290" s="1" t="s">
        <v>23</v>
      </c>
      <c r="E290" s="1">
        <v>5</v>
      </c>
      <c r="F290" s="1">
        <v>22452</v>
      </c>
      <c r="G290" s="4">
        <v>45215</v>
      </c>
      <c r="H290" s="1">
        <v>21420</v>
      </c>
      <c r="I290" s="6">
        <v>4490.3999999999996</v>
      </c>
    </row>
    <row r="291" spans="1:9" x14ac:dyDescent="0.25">
      <c r="A291" s="5" t="s">
        <v>24</v>
      </c>
      <c r="B291" s="1" t="s">
        <v>5</v>
      </c>
      <c r="C291" s="1" t="s">
        <v>6</v>
      </c>
      <c r="D291" s="1" t="s">
        <v>18</v>
      </c>
      <c r="E291" s="1">
        <v>6</v>
      </c>
      <c r="F291" s="1">
        <v>46648</v>
      </c>
      <c r="G291" s="4">
        <v>45216</v>
      </c>
      <c r="H291" s="1">
        <v>22452</v>
      </c>
      <c r="I291" s="6">
        <v>9329.6</v>
      </c>
    </row>
    <row r="292" spans="1:9" x14ac:dyDescent="0.25">
      <c r="A292" s="5" t="s">
        <v>11</v>
      </c>
      <c r="B292" s="1" t="s">
        <v>17</v>
      </c>
      <c r="C292" s="1" t="s">
        <v>12</v>
      </c>
      <c r="D292" s="1" t="s">
        <v>3</v>
      </c>
      <c r="E292" s="1">
        <v>2</v>
      </c>
      <c r="F292" s="1">
        <v>39001</v>
      </c>
      <c r="G292" s="4">
        <v>45217</v>
      </c>
      <c r="H292" s="1">
        <v>46648</v>
      </c>
      <c r="I292" s="6">
        <v>7800.2</v>
      </c>
    </row>
    <row r="293" spans="1:9" x14ac:dyDescent="0.25">
      <c r="A293" s="5" t="s">
        <v>16</v>
      </c>
      <c r="B293" s="1" t="s">
        <v>1</v>
      </c>
      <c r="C293" s="1" t="s">
        <v>2</v>
      </c>
      <c r="D293" s="1" t="s">
        <v>18</v>
      </c>
      <c r="E293" s="1">
        <v>5</v>
      </c>
      <c r="F293" s="1">
        <v>10516</v>
      </c>
      <c r="G293" s="4">
        <v>45218</v>
      </c>
      <c r="H293" s="1">
        <v>39001</v>
      </c>
      <c r="I293" s="6">
        <v>2103.1999999999998</v>
      </c>
    </row>
    <row r="294" spans="1:9" x14ac:dyDescent="0.25">
      <c r="A294" s="5" t="s">
        <v>4</v>
      </c>
      <c r="B294" s="1" t="s">
        <v>17</v>
      </c>
      <c r="C294" s="1" t="s">
        <v>12</v>
      </c>
      <c r="D294" s="1" t="s">
        <v>7</v>
      </c>
      <c r="E294" s="1">
        <v>4</v>
      </c>
      <c r="F294" s="1">
        <v>48327</v>
      </c>
      <c r="G294" s="4">
        <v>45219</v>
      </c>
      <c r="H294" s="1">
        <v>10516</v>
      </c>
      <c r="I294" s="6">
        <v>9665.4</v>
      </c>
    </row>
    <row r="295" spans="1:9" x14ac:dyDescent="0.25">
      <c r="A295" s="5" t="s">
        <v>16</v>
      </c>
      <c r="B295" s="1" t="s">
        <v>5</v>
      </c>
      <c r="C295" s="1" t="s">
        <v>12</v>
      </c>
      <c r="D295" s="1" t="s">
        <v>19</v>
      </c>
      <c r="E295" s="1">
        <v>9</v>
      </c>
      <c r="F295" s="1">
        <v>3396</v>
      </c>
      <c r="G295" s="4">
        <v>45220</v>
      </c>
      <c r="H295" s="1">
        <v>48327</v>
      </c>
      <c r="I295" s="6">
        <v>679.2</v>
      </c>
    </row>
    <row r="296" spans="1:9" x14ac:dyDescent="0.25">
      <c r="A296" s="5" t="s">
        <v>24</v>
      </c>
      <c r="B296" s="1" t="s">
        <v>5</v>
      </c>
      <c r="C296" s="1" t="s">
        <v>9</v>
      </c>
      <c r="D296" s="1" t="s">
        <v>7</v>
      </c>
      <c r="E296" s="1">
        <v>6</v>
      </c>
      <c r="F296" s="1">
        <v>19546</v>
      </c>
      <c r="G296" s="4">
        <v>45221</v>
      </c>
      <c r="H296" s="1">
        <v>3396</v>
      </c>
      <c r="I296" s="6">
        <v>3909.2</v>
      </c>
    </row>
    <row r="297" spans="1:9" x14ac:dyDescent="0.25">
      <c r="A297" s="5" t="s">
        <v>24</v>
      </c>
      <c r="B297" s="1" t="s">
        <v>14</v>
      </c>
      <c r="C297" s="1" t="s">
        <v>6</v>
      </c>
      <c r="D297" s="1" t="s">
        <v>21</v>
      </c>
      <c r="E297" s="1">
        <v>2</v>
      </c>
      <c r="F297" s="1">
        <v>20129</v>
      </c>
      <c r="G297" s="4">
        <v>45222</v>
      </c>
      <c r="H297" s="1">
        <v>19546</v>
      </c>
      <c r="I297" s="6">
        <v>4025.8</v>
      </c>
    </row>
    <row r="298" spans="1:9" x14ac:dyDescent="0.25">
      <c r="A298" s="5" t="s">
        <v>11</v>
      </c>
      <c r="B298" s="1" t="s">
        <v>1</v>
      </c>
      <c r="C298" s="1" t="s">
        <v>12</v>
      </c>
      <c r="D298" s="1" t="s">
        <v>7</v>
      </c>
      <c r="E298" s="1">
        <v>1</v>
      </c>
      <c r="F298" s="1">
        <v>2591</v>
      </c>
      <c r="G298" s="4">
        <v>45223</v>
      </c>
      <c r="H298" s="1">
        <v>20129</v>
      </c>
      <c r="I298" s="6">
        <v>518.20000000000005</v>
      </c>
    </row>
    <row r="299" spans="1:9" x14ac:dyDescent="0.25">
      <c r="A299" s="5" t="s">
        <v>20</v>
      </c>
      <c r="B299" s="1" t="s">
        <v>17</v>
      </c>
      <c r="C299" s="1" t="s">
        <v>12</v>
      </c>
      <c r="D299" s="1" t="s">
        <v>21</v>
      </c>
      <c r="E299" s="1">
        <v>5</v>
      </c>
      <c r="F299" s="1">
        <v>12303</v>
      </c>
      <c r="G299" s="4">
        <v>45224</v>
      </c>
      <c r="H299" s="1">
        <v>2591</v>
      </c>
      <c r="I299" s="6">
        <v>2460.6</v>
      </c>
    </row>
    <row r="300" spans="1:9" x14ac:dyDescent="0.25">
      <c r="A300" s="5" t="s">
        <v>16</v>
      </c>
      <c r="B300" s="1" t="s">
        <v>5</v>
      </c>
      <c r="C300" s="1" t="s">
        <v>9</v>
      </c>
      <c r="D300" s="1" t="s">
        <v>7</v>
      </c>
      <c r="E300" s="1">
        <v>9</v>
      </c>
      <c r="F300" s="1">
        <v>31561</v>
      </c>
      <c r="G300" s="4">
        <v>45225</v>
      </c>
      <c r="H300" s="1">
        <v>12303</v>
      </c>
      <c r="I300" s="6">
        <v>6312.2</v>
      </c>
    </row>
    <row r="301" spans="1:9" x14ac:dyDescent="0.25">
      <c r="A301" s="10" t="s">
        <v>25</v>
      </c>
      <c r="B301" s="11" t="s">
        <v>5</v>
      </c>
      <c r="C301" s="11" t="s">
        <v>9</v>
      </c>
      <c r="D301" s="11" t="s">
        <v>10</v>
      </c>
      <c r="E301" s="11">
        <v>6</v>
      </c>
      <c r="F301" s="11">
        <v>7183</v>
      </c>
      <c r="G301" s="12">
        <v>45226</v>
      </c>
      <c r="H301" s="11">
        <v>31561</v>
      </c>
      <c r="I301" s="13">
        <v>1436.6</v>
      </c>
    </row>
    <row r="302" spans="1:9" x14ac:dyDescent="0.25">
      <c r="A302" s="1" t="s">
        <v>51</v>
      </c>
      <c r="B302" s="1" t="s">
        <v>1</v>
      </c>
      <c r="C302" s="1" t="s">
        <v>6</v>
      </c>
      <c r="D302" s="1" t="s">
        <v>21</v>
      </c>
      <c r="E302" s="1">
        <v>5</v>
      </c>
      <c r="F302" s="1">
        <v>8956</v>
      </c>
      <c r="G302" s="4">
        <v>45227</v>
      </c>
      <c r="H302" s="1">
        <v>36514</v>
      </c>
      <c r="I302" s="1">
        <v>8556</v>
      </c>
    </row>
    <row r="303" spans="1:9" x14ac:dyDescent="0.25">
      <c r="G303" s="2"/>
    </row>
    <row r="304" spans="1:9" x14ac:dyDescent="0.25">
      <c r="G304" s="2"/>
    </row>
    <row r="305" spans="7:7" x14ac:dyDescent="0.25">
      <c r="G305" s="2"/>
    </row>
    <row r="306" spans="7:7" x14ac:dyDescent="0.25">
      <c r="G306" s="2"/>
    </row>
    <row r="307" spans="7:7" x14ac:dyDescent="0.25">
      <c r="G307" s="2"/>
    </row>
    <row r="308" spans="7:7" x14ac:dyDescent="0.25">
      <c r="G308" s="2"/>
    </row>
    <row r="309" spans="7:7" x14ac:dyDescent="0.25">
      <c r="G309" s="2"/>
    </row>
    <row r="310" spans="7:7" x14ac:dyDescent="0.25">
      <c r="G310" s="2"/>
    </row>
    <row r="311" spans="7:7" x14ac:dyDescent="0.25">
      <c r="G311" s="2"/>
    </row>
    <row r="312" spans="7:7" x14ac:dyDescent="0.25">
      <c r="G312" s="2"/>
    </row>
    <row r="313" spans="7:7" x14ac:dyDescent="0.25">
      <c r="G313" s="2"/>
    </row>
    <row r="314" spans="7:7" x14ac:dyDescent="0.25">
      <c r="G314" s="2"/>
    </row>
    <row r="315" spans="7:7" x14ac:dyDescent="0.25">
      <c r="G315" s="2"/>
    </row>
    <row r="316" spans="7:7" x14ac:dyDescent="0.25">
      <c r="G316" s="2"/>
    </row>
    <row r="317" spans="7:7" x14ac:dyDescent="0.25">
      <c r="G317" s="2"/>
    </row>
    <row r="318" spans="7:7" x14ac:dyDescent="0.25">
      <c r="G318" s="2"/>
    </row>
    <row r="319" spans="7:7" x14ac:dyDescent="0.25">
      <c r="G319" s="2"/>
    </row>
    <row r="320" spans="7:7" x14ac:dyDescent="0.25">
      <c r="G320" s="2"/>
    </row>
    <row r="321" spans="7:7" x14ac:dyDescent="0.25">
      <c r="G321" s="2"/>
    </row>
    <row r="322" spans="7:7" x14ac:dyDescent="0.25">
      <c r="G322" s="2"/>
    </row>
    <row r="323" spans="7:7" x14ac:dyDescent="0.25">
      <c r="G323" s="2"/>
    </row>
    <row r="324" spans="7:7" x14ac:dyDescent="0.25">
      <c r="G324" s="2"/>
    </row>
    <row r="325" spans="7:7" x14ac:dyDescent="0.25">
      <c r="G325"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0026B-40B8-4473-90A9-D0F4AFEE3E5B}">
  <dimension ref="A3:K28"/>
  <sheetViews>
    <sheetView workbookViewId="0">
      <selection activeCell="A3" sqref="A3:B8"/>
    </sheetView>
  </sheetViews>
  <sheetFormatPr defaultRowHeight="15" x14ac:dyDescent="0.25"/>
  <cols>
    <col min="1" max="1" width="11.28515625" bestFit="1" customWidth="1"/>
    <col min="2" max="2" width="12.140625" bestFit="1" customWidth="1"/>
    <col min="4" max="4" width="16.5703125" bestFit="1" customWidth="1"/>
    <col min="5" max="5" width="12.140625" bestFit="1" customWidth="1"/>
    <col min="7" max="7" width="11.28515625" bestFit="1" customWidth="1"/>
    <col min="8" max="8" width="16.5703125" bestFit="1" customWidth="1"/>
    <col min="9" max="10" width="15.42578125" bestFit="1" customWidth="1"/>
    <col min="11" max="11" width="12.5703125" bestFit="1" customWidth="1"/>
  </cols>
  <sheetData>
    <row r="3" spans="1:11" ht="18.75" x14ac:dyDescent="0.3">
      <c r="A3" s="15" t="s">
        <v>27</v>
      </c>
      <c r="B3" s="15" t="s">
        <v>35</v>
      </c>
      <c r="D3" s="15" t="s">
        <v>28</v>
      </c>
      <c r="E3" s="15" t="s">
        <v>35</v>
      </c>
      <c r="H3" s="17" t="s">
        <v>47</v>
      </c>
      <c r="I3" s="14">
        <f>GETPIVOTDATA("Sum of Sales",A3)</f>
        <v>7662785</v>
      </c>
    </row>
    <row r="4" spans="1:11" ht="18.75" x14ac:dyDescent="0.3">
      <c r="A4" s="3" t="s">
        <v>17</v>
      </c>
      <c r="B4">
        <v>1586856</v>
      </c>
      <c r="D4" s="3" t="s">
        <v>2</v>
      </c>
      <c r="E4" s="19">
        <v>1616556</v>
      </c>
      <c r="H4" s="17" t="s">
        <v>48</v>
      </c>
      <c r="I4" s="14">
        <f>GETPIVOTDATA("Profit",$J$13)</f>
        <v>1532557</v>
      </c>
    </row>
    <row r="5" spans="1:11" ht="18.75" x14ac:dyDescent="0.3">
      <c r="A5" s="3" t="s">
        <v>1</v>
      </c>
      <c r="B5">
        <v>2077957</v>
      </c>
      <c r="D5" s="3" t="s">
        <v>6</v>
      </c>
      <c r="E5" s="19">
        <v>1559964</v>
      </c>
      <c r="H5" s="17" t="s">
        <v>49</v>
      </c>
      <c r="I5" s="14">
        <f>SUM(Table1[[#All],[Quantity]])</f>
        <v>1484</v>
      </c>
    </row>
    <row r="6" spans="1:11" x14ac:dyDescent="0.25">
      <c r="A6" s="3" t="s">
        <v>14</v>
      </c>
      <c r="B6">
        <v>1849297</v>
      </c>
      <c r="D6" s="3" t="s">
        <v>12</v>
      </c>
      <c r="E6" s="19">
        <v>2614269</v>
      </c>
    </row>
    <row r="7" spans="1:11" x14ac:dyDescent="0.25">
      <c r="A7" s="3" t="s">
        <v>5</v>
      </c>
      <c r="B7">
        <v>2148675</v>
      </c>
      <c r="D7" s="3" t="s">
        <v>9</v>
      </c>
      <c r="E7" s="19">
        <v>1871996</v>
      </c>
    </row>
    <row r="8" spans="1:11" x14ac:dyDescent="0.25">
      <c r="A8" s="16" t="s">
        <v>34</v>
      </c>
      <c r="B8" s="15">
        <v>7662785</v>
      </c>
      <c r="D8" s="16" t="s">
        <v>34</v>
      </c>
      <c r="E8" s="20">
        <v>7662785</v>
      </c>
    </row>
    <row r="13" spans="1:11" x14ac:dyDescent="0.25">
      <c r="A13" s="15" t="s">
        <v>29</v>
      </c>
      <c r="B13" s="15" t="s">
        <v>35</v>
      </c>
      <c r="D13" s="15" t="s">
        <v>53</v>
      </c>
      <c r="E13" s="15" t="s">
        <v>35</v>
      </c>
      <c r="G13" s="15" t="s">
        <v>27</v>
      </c>
      <c r="H13" s="15" t="s">
        <v>35</v>
      </c>
      <c r="J13" s="15" t="s">
        <v>27</v>
      </c>
      <c r="K13" s="15" t="s">
        <v>46</v>
      </c>
    </row>
    <row r="14" spans="1:11" x14ac:dyDescent="0.25">
      <c r="A14" s="3" t="s">
        <v>13</v>
      </c>
      <c r="B14">
        <v>792076</v>
      </c>
      <c r="D14" s="3" t="s">
        <v>36</v>
      </c>
      <c r="E14">
        <v>806762</v>
      </c>
      <c r="G14" s="3" t="s">
        <v>17</v>
      </c>
      <c r="H14">
        <v>1586856</v>
      </c>
      <c r="J14" s="3" t="s">
        <v>17</v>
      </c>
      <c r="K14">
        <v>317371.19999999984</v>
      </c>
    </row>
    <row r="15" spans="1:11" x14ac:dyDescent="0.25">
      <c r="A15" s="3" t="s">
        <v>10</v>
      </c>
      <c r="B15">
        <v>1110088</v>
      </c>
      <c r="D15" s="3" t="s">
        <v>37</v>
      </c>
      <c r="E15">
        <v>729074</v>
      </c>
      <c r="G15" s="3" t="s">
        <v>1</v>
      </c>
      <c r="H15">
        <v>2077957</v>
      </c>
      <c r="J15" s="3" t="s">
        <v>1</v>
      </c>
      <c r="K15">
        <v>415591.40000000008</v>
      </c>
    </row>
    <row r="16" spans="1:11" x14ac:dyDescent="0.25">
      <c r="A16" s="3" t="s">
        <v>19</v>
      </c>
      <c r="B16">
        <v>909220</v>
      </c>
      <c r="D16" s="3" t="s">
        <v>38</v>
      </c>
      <c r="E16">
        <v>779423</v>
      </c>
      <c r="G16" s="3" t="s">
        <v>14</v>
      </c>
      <c r="H16">
        <v>1849297</v>
      </c>
      <c r="J16" s="3" t="s">
        <v>14</v>
      </c>
      <c r="K16">
        <v>369859.39999999997</v>
      </c>
    </row>
    <row r="17" spans="1:11" x14ac:dyDescent="0.25">
      <c r="A17" s="3" t="s">
        <v>23</v>
      </c>
      <c r="B17">
        <v>823974</v>
      </c>
      <c r="D17" s="3" t="s">
        <v>39</v>
      </c>
      <c r="E17">
        <v>603156</v>
      </c>
      <c r="G17" s="3" t="s">
        <v>5</v>
      </c>
      <c r="H17">
        <v>2148675</v>
      </c>
      <c r="J17" s="3" t="s">
        <v>5</v>
      </c>
      <c r="K17">
        <v>429735.00000000017</v>
      </c>
    </row>
    <row r="18" spans="1:11" x14ac:dyDescent="0.25">
      <c r="A18" s="3" t="s">
        <v>21</v>
      </c>
      <c r="B18">
        <v>965050</v>
      </c>
      <c r="D18" s="3" t="s">
        <v>40</v>
      </c>
      <c r="E18">
        <v>741636</v>
      </c>
      <c r="G18" s="16" t="s">
        <v>34</v>
      </c>
      <c r="H18" s="15">
        <v>7662785</v>
      </c>
      <c r="J18" s="16" t="s">
        <v>34</v>
      </c>
      <c r="K18" s="15">
        <v>1532557</v>
      </c>
    </row>
    <row r="19" spans="1:11" x14ac:dyDescent="0.25">
      <c r="A19" s="3" t="s">
        <v>18</v>
      </c>
      <c r="B19">
        <v>1010690</v>
      </c>
      <c r="D19" s="3" t="s">
        <v>41</v>
      </c>
      <c r="E19">
        <v>782869</v>
      </c>
    </row>
    <row r="20" spans="1:11" x14ac:dyDescent="0.25">
      <c r="A20" s="3" t="s">
        <v>3</v>
      </c>
      <c r="B20">
        <v>1202768</v>
      </c>
      <c r="D20" s="3" t="s">
        <v>42</v>
      </c>
      <c r="E20">
        <v>890046</v>
      </c>
    </row>
    <row r="21" spans="1:11" x14ac:dyDescent="0.25">
      <c r="A21" s="3" t="s">
        <v>7</v>
      </c>
      <c r="B21">
        <v>848919</v>
      </c>
      <c r="D21" s="3" t="s">
        <v>43</v>
      </c>
      <c r="E21">
        <v>824137</v>
      </c>
    </row>
    <row r="22" spans="1:11" x14ac:dyDescent="0.25">
      <c r="A22" s="16" t="s">
        <v>34</v>
      </c>
      <c r="B22" s="15">
        <v>7662785</v>
      </c>
      <c r="D22" s="3" t="s">
        <v>44</v>
      </c>
      <c r="E22">
        <v>869638</v>
      </c>
    </row>
    <row r="23" spans="1:11" x14ac:dyDescent="0.25">
      <c r="D23" s="3" t="s">
        <v>45</v>
      </c>
      <c r="E23">
        <v>636044</v>
      </c>
      <c r="H23" s="18" t="s">
        <v>27</v>
      </c>
      <c r="I23" s="15" t="s">
        <v>52</v>
      </c>
    </row>
    <row r="24" spans="1:11" x14ac:dyDescent="0.25">
      <c r="D24" s="16" t="s">
        <v>34</v>
      </c>
      <c r="E24" s="15">
        <v>7662785</v>
      </c>
      <c r="H24" s="3" t="s">
        <v>2</v>
      </c>
      <c r="I24">
        <v>348</v>
      </c>
    </row>
    <row r="25" spans="1:11" x14ac:dyDescent="0.25">
      <c r="H25" s="3" t="s">
        <v>6</v>
      </c>
      <c r="I25">
        <v>316</v>
      </c>
    </row>
    <row r="26" spans="1:11" x14ac:dyDescent="0.25">
      <c r="H26" s="3" t="s">
        <v>12</v>
      </c>
      <c r="I26">
        <v>499</v>
      </c>
    </row>
    <row r="27" spans="1:11" x14ac:dyDescent="0.25">
      <c r="H27" s="3" t="s">
        <v>9</v>
      </c>
      <c r="I27">
        <v>316</v>
      </c>
    </row>
    <row r="28" spans="1:11" x14ac:dyDescent="0.25">
      <c r="H28" s="16" t="s">
        <v>34</v>
      </c>
      <c r="I28" s="15">
        <v>1479</v>
      </c>
    </row>
  </sheetData>
  <pageMargins left="0.7" right="0.7" top="0.75" bottom="0.75" header="0.3" footer="0.3"/>
  <pageSetup paperSize="9"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E4939-C8C9-4466-AFB2-B2E98FD8313B}">
  <dimension ref="A1"/>
  <sheetViews>
    <sheetView showGridLines="0" tabSelected="1" topLeftCell="B1" zoomScale="55" zoomScaleNormal="55" workbookViewId="0">
      <selection activeCell="O29" sqref="O2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7E1B-6C50-4108-BA14-259FD0AD2211}">
  <dimension ref="A1"/>
  <sheetViews>
    <sheetView workbookViewId="0">
      <selection activeCell="A8" sqref="A8"/>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saksham2556@outlook.com</cp:lastModifiedBy>
  <dcterms:created xsi:type="dcterms:W3CDTF">2026-04-04T16:24:13Z</dcterms:created>
  <dcterms:modified xsi:type="dcterms:W3CDTF">2026-07-03T11:57:12Z</dcterms:modified>
</cp:coreProperties>
</file>